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e4d96c5f805718/BH Artefatos/Controles/2025/01.25/"/>
    </mc:Choice>
  </mc:AlternateContent>
  <xr:revisionPtr revIDLastSave="584" documentId="8_{AFB80369-BB18-4153-9D56-244ABEC0376D}" xr6:coauthVersionLast="47" xr6:coauthVersionMax="47" xr10:uidLastSave="{64DD710B-5826-4EE5-8350-630E688D5BF2}"/>
  <bookViews>
    <workbookView xWindow="-28920" yWindow="-120" windowWidth="29040" windowHeight="15720" xr2:uid="{52BD0A3C-5DEC-4F5E-8A47-56B875212ACF}"/>
  </bookViews>
  <sheets>
    <sheet name="Diário" sheetId="1" r:id="rId1"/>
    <sheet name="Mensal" sheetId="3" r:id="rId2"/>
    <sheet name="Semanal" sheetId="2" r:id="rId3"/>
  </sheets>
  <definedNames>
    <definedName name="_xlnm._FilterDatabase" localSheetId="0" hidden="1">Diário!$A$6:$AA$82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6" i="1" l="1"/>
  <c r="Q36" i="1"/>
  <c r="P36" i="1"/>
  <c r="O36" i="1" s="1"/>
  <c r="R16" i="1"/>
  <c r="Q16" i="1"/>
  <c r="R15" i="1"/>
  <c r="Q15" i="1"/>
  <c r="R14" i="1"/>
  <c r="Q14" i="1"/>
  <c r="R13" i="1"/>
  <c r="Q13" i="1"/>
  <c r="R9" i="1"/>
  <c r="Q9" i="1"/>
  <c r="R7" i="1"/>
  <c r="Q7" i="1"/>
  <c r="R35" i="1"/>
  <c r="P35" i="1"/>
  <c r="R34" i="1"/>
  <c r="P34" i="1"/>
  <c r="R32" i="1"/>
  <c r="Q32" i="1"/>
  <c r="P32" i="1"/>
  <c r="R31" i="1"/>
  <c r="Q31" i="1"/>
  <c r="P31" i="1"/>
  <c r="E31" i="1"/>
  <c r="G31" i="1"/>
  <c r="I31" i="1"/>
  <c r="O32" i="1"/>
  <c r="O31" i="1"/>
  <c r="O30" i="1"/>
  <c r="O29" i="1"/>
  <c r="O28" i="1"/>
  <c r="E30" i="1"/>
  <c r="G30" i="1"/>
  <c r="I30" i="1"/>
  <c r="I17" i="1"/>
  <c r="E7" i="1"/>
  <c r="T84" i="1"/>
  <c r="T85" i="1" s="1"/>
  <c r="G7" i="1"/>
  <c r="Q20" i="1"/>
  <c r="R20" i="1"/>
  <c r="Q21" i="1"/>
  <c r="R21" i="1"/>
  <c r="Q22" i="1"/>
  <c r="R22" i="1"/>
  <c r="Q23" i="1"/>
  <c r="R23" i="1"/>
  <c r="Q25" i="1"/>
  <c r="R25" i="1"/>
  <c r="Q26" i="1"/>
  <c r="R26" i="1"/>
  <c r="Q27" i="1"/>
  <c r="R27" i="1"/>
  <c r="P7" i="1"/>
  <c r="O47" i="1"/>
  <c r="O48" i="1"/>
  <c r="O49" i="1"/>
  <c r="O50" i="1"/>
  <c r="O51" i="1"/>
  <c r="O52" i="1"/>
  <c r="P27" i="1"/>
  <c r="E27" i="1"/>
  <c r="G27" i="1"/>
  <c r="I27" i="1"/>
  <c r="L27" i="1"/>
  <c r="P26" i="1"/>
  <c r="E26" i="1"/>
  <c r="G26" i="1"/>
  <c r="I26" i="1"/>
  <c r="L26" i="1"/>
  <c r="G25" i="1"/>
  <c r="P25" i="1"/>
  <c r="P23" i="1"/>
  <c r="E23" i="1"/>
  <c r="G23" i="1"/>
  <c r="I23" i="1"/>
  <c r="L23" i="1"/>
  <c r="P22" i="1"/>
  <c r="E22" i="1"/>
  <c r="G22" i="1"/>
  <c r="I22" i="1"/>
  <c r="L22" i="1"/>
  <c r="P21" i="1"/>
  <c r="E21" i="1"/>
  <c r="G21" i="1"/>
  <c r="I21" i="1"/>
  <c r="L21" i="1"/>
  <c r="P20" i="1"/>
  <c r="P19" i="1"/>
  <c r="P18" i="1"/>
  <c r="P17" i="1"/>
  <c r="L17" i="1"/>
  <c r="G17" i="1"/>
  <c r="E17" i="1"/>
  <c r="P11" i="1"/>
  <c r="P10" i="1"/>
  <c r="P9" i="1"/>
  <c r="E9" i="1"/>
  <c r="G9" i="1"/>
  <c r="I9" i="1"/>
  <c r="L9" i="1"/>
  <c r="P16" i="1"/>
  <c r="E16" i="1"/>
  <c r="G16" i="1"/>
  <c r="I16" i="1"/>
  <c r="L16" i="1"/>
  <c r="P15" i="1"/>
  <c r="E15" i="1"/>
  <c r="G15" i="1"/>
  <c r="I15" i="1"/>
  <c r="L15" i="1"/>
  <c r="P14" i="1"/>
  <c r="P13" i="1"/>
  <c r="O13" i="1" s="1"/>
  <c r="E12" i="1"/>
  <c r="E13" i="1"/>
  <c r="E14" i="1"/>
  <c r="E10" i="1"/>
  <c r="E20" i="1"/>
  <c r="O12" i="1"/>
  <c r="O10" i="1" l="1"/>
  <c r="O17" i="1"/>
  <c r="S88" i="1"/>
  <c r="T88" i="1"/>
  <c r="L61" i="1"/>
  <c r="L60" i="1"/>
  <c r="L58" i="1"/>
  <c r="L55" i="1"/>
  <c r="L54" i="1"/>
  <c r="L53" i="1"/>
  <c r="L52" i="1"/>
  <c r="L51" i="1"/>
  <c r="L50" i="1"/>
  <c r="L49" i="1"/>
  <c r="L47" i="1"/>
  <c r="L46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7" i="1"/>
  <c r="L8" i="1"/>
  <c r="L29" i="1"/>
  <c r="L28" i="1"/>
  <c r="L25" i="1"/>
  <c r="L24" i="1"/>
  <c r="L20" i="1"/>
  <c r="L10" i="1"/>
  <c r="L96" i="1" l="1"/>
  <c r="P88" i="1" l="1"/>
  <c r="O93" i="1" s="1"/>
  <c r="O61" i="1"/>
  <c r="I61" i="1"/>
  <c r="G61" i="1"/>
  <c r="E61" i="1"/>
  <c r="O60" i="1"/>
  <c r="I60" i="1"/>
  <c r="G60" i="1"/>
  <c r="E60" i="1"/>
  <c r="O59" i="1"/>
  <c r="E58" i="1"/>
  <c r="G58" i="1"/>
  <c r="I58" i="1"/>
  <c r="O58" i="1"/>
  <c r="O54" i="1"/>
  <c r="E54" i="1"/>
  <c r="G54" i="1"/>
  <c r="I54" i="1"/>
  <c r="E53" i="1"/>
  <c r="G53" i="1"/>
  <c r="I53" i="1"/>
  <c r="O53" i="1"/>
  <c r="I52" i="1"/>
  <c r="G52" i="1"/>
  <c r="E52" i="1"/>
  <c r="O56" i="1"/>
  <c r="E56" i="1"/>
  <c r="G56" i="1"/>
  <c r="I56" i="1"/>
  <c r="L56" i="1"/>
  <c r="O55" i="1"/>
  <c r="I55" i="1"/>
  <c r="G55" i="1"/>
  <c r="E55" i="1"/>
  <c r="G51" i="1"/>
  <c r="G12" i="1"/>
  <c r="G10" i="1"/>
  <c r="G14" i="1"/>
  <c r="G13" i="1"/>
  <c r="G20" i="1"/>
  <c r="G24" i="1"/>
  <c r="G8" i="1"/>
  <c r="G29" i="1"/>
  <c r="G28" i="1"/>
  <c r="G38" i="1"/>
  <c r="G37" i="1"/>
  <c r="G36" i="1"/>
  <c r="G35" i="1"/>
  <c r="G34" i="1"/>
  <c r="G33" i="1"/>
  <c r="G32" i="1"/>
  <c r="G49" i="1"/>
  <c r="G47" i="1"/>
  <c r="G46" i="1"/>
  <c r="G44" i="1"/>
  <c r="G43" i="1"/>
  <c r="G42" i="1"/>
  <c r="G41" i="1"/>
  <c r="G40" i="1"/>
  <c r="G39" i="1"/>
  <c r="G50" i="1"/>
  <c r="O21" i="1"/>
  <c r="O20" i="1"/>
  <c r="O9" i="1"/>
  <c r="O16" i="1"/>
  <c r="O39" i="1"/>
  <c r="E39" i="1"/>
  <c r="O22" i="1"/>
  <c r="O62" i="1"/>
  <c r="O63" i="1"/>
  <c r="O64" i="1"/>
  <c r="O65" i="1"/>
  <c r="O66" i="1"/>
  <c r="O67" i="1"/>
  <c r="O68" i="1"/>
  <c r="O69" i="1"/>
  <c r="O70" i="1"/>
  <c r="O71" i="1"/>
  <c r="O14" i="1"/>
  <c r="O15" i="1"/>
  <c r="L48" i="1"/>
  <c r="L12" i="1"/>
  <c r="L13" i="1"/>
  <c r="L14" i="1"/>
  <c r="L62" i="1"/>
  <c r="L63" i="1"/>
  <c r="L64" i="1"/>
  <c r="L65" i="1"/>
  <c r="I12" i="1"/>
  <c r="I13" i="1"/>
  <c r="I14" i="1"/>
  <c r="I10" i="1"/>
  <c r="I20" i="1"/>
  <c r="I62" i="1"/>
  <c r="I63" i="1"/>
  <c r="I64" i="1"/>
  <c r="I65" i="1"/>
  <c r="I66" i="1"/>
  <c r="I67" i="1"/>
  <c r="I68" i="1"/>
  <c r="I69" i="1"/>
  <c r="G62" i="1"/>
  <c r="G63" i="1"/>
  <c r="G64" i="1"/>
  <c r="G65" i="1"/>
  <c r="G66" i="1"/>
  <c r="G67" i="1"/>
  <c r="G68" i="1"/>
  <c r="G69" i="1"/>
  <c r="G70" i="1"/>
  <c r="E62" i="1"/>
  <c r="E63" i="1"/>
  <c r="E64" i="1"/>
  <c r="E65" i="1"/>
  <c r="E66" i="1"/>
  <c r="E67" i="1"/>
  <c r="E68" i="1"/>
  <c r="E69" i="1"/>
  <c r="E70" i="1"/>
  <c r="E71" i="1"/>
  <c r="G84" i="1" l="1"/>
  <c r="G86" i="1" s="1"/>
  <c r="P89" i="1"/>
  <c r="P91" i="1"/>
  <c r="Q92" i="1" s="1"/>
  <c r="Q93" i="1" s="1"/>
  <c r="Q94" i="1" s="1"/>
  <c r="L57" i="1"/>
  <c r="L59" i="1"/>
  <c r="L45" i="1"/>
  <c r="L66" i="1"/>
  <c r="L67" i="1"/>
  <c r="L68" i="1"/>
  <c r="L69" i="1"/>
  <c r="L70" i="1"/>
  <c r="L71" i="1"/>
  <c r="L72" i="1"/>
  <c r="L73" i="1"/>
  <c r="L74" i="1"/>
  <c r="L75" i="1"/>
  <c r="E51" i="1"/>
  <c r="I51" i="1"/>
  <c r="E50" i="1"/>
  <c r="I50" i="1"/>
  <c r="I49" i="1"/>
  <c r="E49" i="1"/>
  <c r="I47" i="1"/>
  <c r="E47" i="1"/>
  <c r="E45" i="1"/>
  <c r="E46" i="1"/>
  <c r="I46" i="1"/>
  <c r="E44" i="1"/>
  <c r="I44" i="1"/>
  <c r="O43" i="1"/>
  <c r="I43" i="1"/>
  <c r="E43" i="1"/>
  <c r="I42" i="1"/>
  <c r="E42" i="1"/>
  <c r="E59" i="1"/>
  <c r="I40" i="1"/>
  <c r="E40" i="1"/>
  <c r="I41" i="1"/>
  <c r="E41" i="1"/>
  <c r="O38" i="1" l="1"/>
  <c r="O37" i="1"/>
  <c r="O35" i="1"/>
  <c r="O34" i="1"/>
  <c r="O33" i="1"/>
  <c r="I38" i="1"/>
  <c r="I37" i="1"/>
  <c r="I36" i="1"/>
  <c r="I35" i="1"/>
  <c r="I34" i="1"/>
  <c r="I33" i="1"/>
  <c r="I32" i="1"/>
  <c r="I7" i="1"/>
  <c r="I8" i="1"/>
  <c r="I29" i="1"/>
  <c r="I28" i="1"/>
  <c r="I25" i="1"/>
  <c r="I24" i="1"/>
  <c r="E38" i="1"/>
  <c r="E37" i="1"/>
  <c r="E36" i="1"/>
  <c r="E35" i="1"/>
  <c r="E34" i="1"/>
  <c r="E33" i="1"/>
  <c r="E32" i="1"/>
  <c r="E8" i="1"/>
  <c r="E29" i="1"/>
  <c r="E28" i="1"/>
  <c r="E25" i="1"/>
  <c r="E24" i="1"/>
  <c r="I84" i="1" l="1"/>
  <c r="I85" i="1" s="1"/>
  <c r="I86" i="1" s="1"/>
  <c r="E84" i="1"/>
  <c r="E85" i="1" s="1"/>
  <c r="E86" i="1" s="1"/>
  <c r="O7" i="1"/>
  <c r="O8" i="1"/>
  <c r="O27" i="1"/>
  <c r="O26" i="1"/>
  <c r="O25" i="1"/>
  <c r="O24" i="1"/>
  <c r="O57" i="1"/>
  <c r="O41" i="1"/>
  <c r="O40" i="1"/>
  <c r="O42" i="1"/>
  <c r="O44" i="1"/>
  <c r="O46" i="1"/>
  <c r="O45" i="1"/>
  <c r="O72" i="1"/>
  <c r="O73" i="1"/>
  <c r="O74" i="1"/>
  <c r="O75" i="1"/>
  <c r="O76" i="1"/>
  <c r="O77" i="1"/>
  <c r="O78" i="1"/>
  <c r="O79" i="1"/>
  <c r="O80" i="1"/>
  <c r="O81" i="1"/>
  <c r="O82" i="1"/>
  <c r="G19" i="2"/>
  <c r="G18" i="2"/>
  <c r="G17" i="2"/>
  <c r="G16" i="2"/>
  <c r="G14" i="2"/>
  <c r="G13" i="2"/>
  <c r="G12" i="2"/>
  <c r="G11" i="2"/>
  <c r="G9" i="2"/>
  <c r="G8" i="2"/>
  <c r="G7" i="2"/>
  <c r="G6" i="2"/>
  <c r="O23" i="1" l="1"/>
</calcChain>
</file>

<file path=xl/sharedStrings.xml><?xml version="1.0" encoding="utf-8"?>
<sst xmlns="http://schemas.openxmlformats.org/spreadsheetml/2006/main" count="202" uniqueCount="90">
  <si>
    <t>TRAÇO</t>
  </si>
  <si>
    <t>DATA</t>
  </si>
  <si>
    <t>AREIA</t>
  </si>
  <si>
    <t>PEDRISCO</t>
  </si>
  <si>
    <t>BRITA Nº0</t>
  </si>
  <si>
    <t>BRITA Nº1</t>
  </si>
  <si>
    <t>CIMENTO</t>
  </si>
  <si>
    <t>PRODUÇÃO DIA</t>
  </si>
  <si>
    <t>PESSOAS</t>
  </si>
  <si>
    <t>1º</t>
  </si>
  <si>
    <t>2º</t>
  </si>
  <si>
    <t>3º</t>
  </si>
  <si>
    <t>4º</t>
  </si>
  <si>
    <t>5º</t>
  </si>
  <si>
    <t>6º</t>
  </si>
  <si>
    <t>7º</t>
  </si>
  <si>
    <t>PRODUÇÃO P/ SC CIMENTO</t>
  </si>
  <si>
    <t>PESSOAL</t>
  </si>
  <si>
    <t>PÓ DE BRITA</t>
  </si>
  <si>
    <t xml:space="preserve">CONTROLE DE ESTOQUE SEMANAL </t>
  </si>
  <si>
    <t>MAQUINA PNEUMATICA</t>
  </si>
  <si>
    <t>BLC VED 10</t>
  </si>
  <si>
    <t>BLC VED 15</t>
  </si>
  <si>
    <t>BLC EX 15</t>
  </si>
  <si>
    <t>BLC EX 20</t>
  </si>
  <si>
    <t>CAN 10</t>
  </si>
  <si>
    <t>CAN 15</t>
  </si>
  <si>
    <t>CAN 20</t>
  </si>
  <si>
    <t>PAVER 8 CM</t>
  </si>
  <si>
    <t>DORMIDO</t>
  </si>
  <si>
    <t>PAVER 16 FACES  6 CM - TIPO 1</t>
  </si>
  <si>
    <t>PAVER 16 FACES  6 CM - TIPO 2</t>
  </si>
  <si>
    <t xml:space="preserve">PAVER OSSINHO 6 CM </t>
  </si>
  <si>
    <t xml:space="preserve">PAVER RETANGULAR 6 CM </t>
  </si>
  <si>
    <t>FORMA MANUAL</t>
  </si>
  <si>
    <t xml:space="preserve">POSTE  RETO </t>
  </si>
  <si>
    <t>POSTE  RETO - TRELIÇA</t>
  </si>
  <si>
    <t>POSTE INCLINADO</t>
  </si>
  <si>
    <t>POSTE INCLINADO - TRELIÇA</t>
  </si>
  <si>
    <t>POSTO ESCORA</t>
  </si>
  <si>
    <t>POSTO INCLINADO ESTICADOR</t>
  </si>
  <si>
    <t>MÁQUINA MANUAL</t>
  </si>
  <si>
    <t>MANILHA NORMAL</t>
  </si>
  <si>
    <t>MANILHA FURADA</t>
  </si>
  <si>
    <t>TAMPA MANILHA</t>
  </si>
  <si>
    <t>CIMENTO CPV 40 KG</t>
  </si>
  <si>
    <t>CIMENTO CPIII 50 KG</t>
  </si>
  <si>
    <t>CIMENTO CPII 40KG</t>
  </si>
  <si>
    <t>FERRO 4.2</t>
  </si>
  <si>
    <t>FERRO 6.3</t>
  </si>
  <si>
    <t>FERRAGEM MANILHA</t>
  </si>
  <si>
    <t xml:space="preserve">FORMAS </t>
  </si>
  <si>
    <t>POSTE ESCORA</t>
  </si>
  <si>
    <t>POSTE INCLINADO ESTICADOR</t>
  </si>
  <si>
    <t>MANILHA 1.35X0,50X0,05</t>
  </si>
  <si>
    <t>MANILHA 1.00X0,50X0,05</t>
  </si>
  <si>
    <t>ADITIVO</t>
  </si>
  <si>
    <t>SOLIMAR</t>
  </si>
  <si>
    <t>LUCIANO</t>
  </si>
  <si>
    <t>EDNALDO</t>
  </si>
  <si>
    <t>CAUÃ</t>
  </si>
  <si>
    <t>ALVENARIA</t>
  </si>
  <si>
    <t>GUILHERME</t>
  </si>
  <si>
    <t>P. 16F 6 CM</t>
  </si>
  <si>
    <t>MANILHAS</t>
  </si>
  <si>
    <t>DESC.</t>
  </si>
  <si>
    <t>DANIEL</t>
  </si>
  <si>
    <t>GILDACI</t>
  </si>
  <si>
    <t>P 8 CM</t>
  </si>
  <si>
    <t>CAUA</t>
  </si>
  <si>
    <t>JADIEL</t>
  </si>
  <si>
    <t>WEBERTON</t>
  </si>
  <si>
    <t>P. R 6 CM</t>
  </si>
  <si>
    <t>P.O 6CM</t>
  </si>
  <si>
    <t>ALEX</t>
  </si>
  <si>
    <t xml:space="preserve">LUCIANO </t>
  </si>
  <si>
    <t>FLEDSON</t>
  </si>
  <si>
    <t>EDUARDO</t>
  </si>
  <si>
    <t>ISAQUIEL</t>
  </si>
  <si>
    <t>EDVALDO</t>
  </si>
  <si>
    <t>ISAQUE</t>
  </si>
  <si>
    <t>TRILHO LAJE</t>
  </si>
  <si>
    <t xml:space="preserve">MARCOS </t>
  </si>
  <si>
    <t>VANUSMAR</t>
  </si>
  <si>
    <t xml:space="preserve">SOLIMAR </t>
  </si>
  <si>
    <t>DUDU</t>
  </si>
  <si>
    <t>2 SIGANO</t>
  </si>
  <si>
    <t xml:space="preserve">GUILHERME </t>
  </si>
  <si>
    <t>JAIDEL</t>
  </si>
  <si>
    <t>C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</si>
</sst>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R$&quot;\ * #,##0.00_-;\-&quot;R$&quot;\ * #,##0.00_-;_-&quot;R$&quot;\ * &quot;-&quot;??_-;_-@_-"/>
    <numFmt numFmtId="164" formatCode="General\ &quot;sc&quot;"/>
    <numFmt numFmtId="165" formatCode="General\ &quot;lt&quot;"/>
    <numFmt numFmtId="166" formatCode="General\ &quot;un&quot;"/>
    <numFmt numFmtId="167" formatCode="#,##0.00\ &quot;trç&quot;"/>
    <numFmt numFmtId="168" formatCode="#,##0.00\ &quot;m²&quot;"/>
    <numFmt numFmtId="169" formatCode="0\ &quot;m²&quot;"/>
    <numFmt numFmtId="170" formatCode="#,##0\ &quot;pç&quot;"/>
    <numFmt numFmtId="171" formatCode="General\ &quot;barra&quot;"/>
    <numFmt numFmtId="172" formatCode="General\ &quot;ml&quot;"/>
    <numFmt numFmtId="173" formatCode="#,##0\ \ &quot;un&quot;"/>
    <numFmt numFmtId="174" formatCode="0.00\ &quot;pallet&quot;"/>
    <numFmt numFmtId="175" formatCode="General\ &quot;m²&quot;"/>
    <numFmt numFmtId="176" formatCode="General\ &quot;lat&quot;"/>
  </numFmts>
  <fonts count="1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medium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indexed="64"/>
      </left>
      <right style="dashed">
        <color theme="0" tint="-0.24994659260841701"/>
      </right>
      <top style="dashed">
        <color theme="0" tint="-0.24994659260841701"/>
      </top>
      <bottom style="medium">
        <color indexed="64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medium">
        <color indexed="64"/>
      </bottom>
      <diagonal/>
    </border>
    <border>
      <left style="dashed">
        <color theme="0" tint="-0.24994659260841701"/>
      </left>
      <right style="medium">
        <color indexed="64"/>
      </right>
      <top style="dashed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/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/>
      <right style="thin">
        <color theme="1" tint="0.14996795556505021"/>
      </right>
      <top/>
      <bottom style="dashed">
        <color theme="0" tint="-0.24994659260841701"/>
      </bottom>
      <diagonal/>
    </border>
    <border>
      <left style="thin">
        <color theme="1" tint="0.14996795556505021"/>
      </left>
      <right style="thin">
        <color theme="1" tint="0.14996795556505021"/>
      </right>
      <top/>
      <bottom style="dashed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 style="medium">
        <color indexed="64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dashed">
        <color theme="0" tint="-0.24994659260841701"/>
      </left>
      <right style="medium">
        <color indexed="64"/>
      </right>
      <top/>
      <bottom style="dashed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dashed">
        <color theme="0" tint="-0.24994659260841701"/>
      </bottom>
      <diagonal/>
    </border>
    <border>
      <left/>
      <right/>
      <top style="medium">
        <color indexed="64"/>
      </top>
      <bottom style="dashed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dashed">
        <color theme="0" tint="-0.24994659260841701"/>
      </bottom>
      <diagonal/>
    </border>
    <border>
      <left style="thick">
        <color theme="1" tint="4.9989318521683403E-2"/>
      </left>
      <right style="dashed">
        <color theme="0" tint="-0.499984740745262"/>
      </right>
      <top style="thick">
        <color theme="1" tint="4.9989318521683403E-2"/>
      </top>
      <bottom style="thin">
        <color theme="0" tint="-0.499984740745262"/>
      </bottom>
      <diagonal/>
    </border>
    <border>
      <left style="dashed">
        <color theme="0" tint="-0.499984740745262"/>
      </left>
      <right style="thick">
        <color theme="1" tint="4.9989318521683403E-2"/>
      </right>
      <top style="thick">
        <color theme="1" tint="4.9989318521683403E-2"/>
      </top>
      <bottom style="thin">
        <color theme="0" tint="-0.499984740745262"/>
      </bottom>
      <diagonal/>
    </border>
    <border>
      <left style="thick">
        <color theme="1" tint="4.9989318521683403E-2"/>
      </left>
      <right style="dashed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ashed">
        <color theme="0" tint="-0.499984740745262"/>
      </left>
      <right style="thick">
        <color theme="1" tint="4.9989318521683403E-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1" tint="4.9989318521683403E-2"/>
      </left>
      <right style="dashed">
        <color theme="0" tint="-0.499984740745262"/>
      </right>
      <top style="thin">
        <color theme="0" tint="-0.499984740745262"/>
      </top>
      <bottom style="thick">
        <color theme="1" tint="4.9989318521683403E-2"/>
      </bottom>
      <diagonal/>
    </border>
    <border>
      <left style="dashed">
        <color theme="0" tint="-0.499984740745262"/>
      </left>
      <right style="thick">
        <color theme="1" tint="4.9989318521683403E-2"/>
      </right>
      <top style="thin">
        <color theme="0" tint="-0.499984740745262"/>
      </top>
      <bottom style="thick">
        <color theme="1" tint="4.9989318521683403E-2"/>
      </bottom>
      <diagonal/>
    </border>
    <border>
      <left style="thick">
        <color theme="1" tint="4.9989318521683403E-2"/>
      </left>
      <right style="dashed">
        <color theme="0" tint="-0.499984740745262"/>
      </right>
      <top style="thin">
        <color theme="0" tint="-0.499984740745262"/>
      </top>
      <bottom/>
      <diagonal/>
    </border>
    <border>
      <left style="dashed">
        <color theme="0" tint="-0.499984740745262"/>
      </left>
      <right style="thick">
        <color theme="1" tint="4.9989318521683403E-2"/>
      </right>
      <top style="thin">
        <color theme="0" tint="-0.499984740745262"/>
      </top>
      <bottom/>
      <diagonal/>
    </border>
    <border>
      <left style="thick">
        <color theme="1" tint="4.9989318521683403E-2"/>
      </left>
      <right style="dashed">
        <color theme="0" tint="-0.499984740745262"/>
      </right>
      <top/>
      <bottom style="thin">
        <color theme="0" tint="-0.499984740745262"/>
      </bottom>
      <diagonal/>
    </border>
    <border>
      <left style="dashed">
        <color theme="0" tint="-0.499984740745262"/>
      </left>
      <right style="thick">
        <color theme="1" tint="4.9989318521683403E-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1" tint="4.9989318521683403E-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ck">
        <color theme="1" tint="4.9989318521683403E-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 style="dashed">
        <color theme="0" tint="-0.24994659260841701"/>
      </right>
      <top/>
      <bottom style="dashed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theme="0" tint="-0.24994659260841701"/>
      </left>
      <right style="medium">
        <color indexed="64"/>
      </right>
      <top style="dashed">
        <color theme="0" tint="-0.24994659260841701"/>
      </top>
      <bottom/>
      <diagonal/>
    </border>
    <border>
      <left style="thin">
        <color theme="1" tint="0.14996795556505021"/>
      </left>
      <right style="thin">
        <color theme="1" tint="0.14996795556505021"/>
      </right>
      <top style="dashed">
        <color theme="0" tint="-0.24994659260841701"/>
      </top>
      <bottom/>
      <diagonal/>
    </border>
    <border>
      <left style="thin">
        <color theme="1" tint="0.14996795556505021"/>
      </left>
      <right style="medium">
        <color indexed="64"/>
      </right>
      <top style="dashed">
        <color theme="0" tint="-0.24994659260841701"/>
      </top>
      <bottom/>
      <diagonal/>
    </border>
    <border>
      <left style="thin">
        <color theme="1" tint="0.14996795556505021"/>
      </left>
      <right style="medium">
        <color indexed="64"/>
      </right>
      <top/>
      <bottom style="dashed">
        <color theme="0" tint="-0.24994659260841701"/>
      </bottom>
      <diagonal/>
    </border>
    <border>
      <left style="medium">
        <color indexed="64"/>
      </left>
      <right style="dashed">
        <color theme="0" tint="-0.24994659260841701"/>
      </right>
      <top style="dashed">
        <color theme="0" tint="-0.24994659260841701"/>
      </top>
      <bottom/>
      <diagonal/>
    </border>
    <border>
      <left style="thin">
        <color indexed="64"/>
      </left>
      <right style="dashed">
        <color theme="0" tint="-0.24994659260841701"/>
      </right>
      <top style="dashed">
        <color theme="0" tint="-0.24994659260841701"/>
      </top>
      <bottom/>
      <diagonal/>
    </border>
    <border>
      <left style="thin">
        <color indexed="64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thin">
        <color theme="1" tint="0.14996795556505021"/>
      </left>
      <right style="thin">
        <color theme="1" tint="0.14996795556505021"/>
      </right>
      <top/>
      <bottom/>
      <diagonal/>
    </border>
    <border>
      <left style="medium">
        <color indexed="64"/>
      </left>
      <right style="dashed">
        <color theme="0" tint="-0.24994659260841701"/>
      </right>
      <top/>
      <bottom/>
      <diagonal/>
    </border>
    <border>
      <left/>
      <right style="dashed">
        <color theme="0" tint="-0.24994659260841701"/>
      </right>
      <top/>
      <bottom/>
      <diagonal/>
    </border>
    <border>
      <left/>
      <right/>
      <top style="thick">
        <color indexed="64"/>
      </top>
      <bottom style="dashed">
        <color theme="0" tint="-0.34998626667073579"/>
      </bottom>
      <diagonal/>
    </border>
    <border>
      <left/>
      <right/>
      <top style="dashed">
        <color theme="0" tint="-0.34998626667073579"/>
      </top>
      <bottom style="dashed">
        <color theme="0" tint="-0.34998626667073579"/>
      </bottom>
      <diagonal/>
    </border>
    <border>
      <left/>
      <right/>
      <top style="dashed">
        <color theme="0" tint="-0.34998626667073579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dashed">
        <color theme="0" tint="-0.24994659260841701"/>
      </bottom>
      <diagonal/>
    </border>
    <border>
      <left/>
      <right/>
      <top style="thick">
        <color indexed="64"/>
      </top>
      <bottom style="dashed">
        <color theme="0" tint="-0.24994659260841701"/>
      </bottom>
      <diagonal/>
    </border>
    <border>
      <left/>
      <right style="thin">
        <color theme="1" tint="0.14996795556505021"/>
      </right>
      <top style="thick">
        <color indexed="64"/>
      </top>
      <bottom style="dashed">
        <color theme="0" tint="-0.24994659260841701"/>
      </bottom>
      <diagonal/>
    </border>
    <border>
      <left/>
      <right/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 style="dashed">
        <color theme="0" tint="-0.24994659260841701"/>
      </top>
      <bottom style="thick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32">
    <xf numFmtId="0" fontId="0" fillId="0" borderId="0" xfId="0"/>
    <xf numFmtId="165" fontId="1" fillId="2" borderId="20" xfId="0" applyNumberFormat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/>
    </xf>
    <xf numFmtId="0" fontId="2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14" fontId="2" fillId="3" borderId="13" xfId="0" applyNumberFormat="1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center" vertical="center" wrapText="1"/>
    </xf>
    <xf numFmtId="165" fontId="1" fillId="3" borderId="5" xfId="0" applyNumberFormat="1" applyFont="1" applyFill="1" applyBorder="1" applyAlignment="1">
      <alignment horizontal="center" vertical="center"/>
    </xf>
    <xf numFmtId="165" fontId="1" fillId="3" borderId="6" xfId="0" applyNumberFormat="1" applyFont="1" applyFill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5" fontId="1" fillId="3" borderId="7" xfId="0" applyNumberFormat="1" applyFont="1" applyFill="1" applyBorder="1" applyAlignment="1">
      <alignment horizontal="center" vertical="center"/>
    </xf>
    <xf numFmtId="164" fontId="1" fillId="2" borderId="21" xfId="0" applyNumberFormat="1" applyFont="1" applyFill="1" applyBorder="1" applyAlignment="1">
      <alignment horizontal="center"/>
    </xf>
    <xf numFmtId="166" fontId="3" fillId="2" borderId="17" xfId="0" applyNumberFormat="1" applyFont="1" applyFill="1" applyBorder="1" applyAlignment="1">
      <alignment horizontal="center" vertical="center"/>
    </xf>
    <xf numFmtId="164" fontId="3" fillId="2" borderId="17" xfId="0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left"/>
    </xf>
    <xf numFmtId="167" fontId="1" fillId="0" borderId="19" xfId="0" applyNumberFormat="1" applyFont="1" applyBorder="1" applyAlignment="1">
      <alignment horizontal="center"/>
    </xf>
    <xf numFmtId="2" fontId="4" fillId="4" borderId="1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3" fontId="0" fillId="8" borderId="27" xfId="0" applyNumberFormat="1" applyFill="1" applyBorder="1" applyAlignment="1">
      <alignment horizontal="left"/>
    </xf>
    <xf numFmtId="3" fontId="0" fillId="5" borderId="27" xfId="0" applyNumberFormat="1" applyFill="1" applyBorder="1" applyAlignment="1">
      <alignment horizontal="left"/>
    </xf>
    <xf numFmtId="168" fontId="0" fillId="5" borderId="28" xfId="0" applyNumberFormat="1" applyFill="1" applyBorder="1" applyAlignment="1">
      <alignment horizontal="right"/>
    </xf>
    <xf numFmtId="3" fontId="0" fillId="6" borderId="27" xfId="0" applyNumberFormat="1" applyFill="1" applyBorder="1" applyAlignment="1">
      <alignment horizontal="left"/>
    </xf>
    <xf numFmtId="0" fontId="0" fillId="6" borderId="28" xfId="0" applyFill="1" applyBorder="1" applyAlignment="1">
      <alignment horizontal="center"/>
    </xf>
    <xf numFmtId="3" fontId="0" fillId="7" borderId="27" xfId="0" applyNumberFormat="1" applyFill="1" applyBorder="1" applyAlignment="1">
      <alignment horizontal="left"/>
    </xf>
    <xf numFmtId="0" fontId="0" fillId="7" borderId="28" xfId="0" applyFill="1" applyBorder="1" applyAlignment="1">
      <alignment horizontal="center"/>
    </xf>
    <xf numFmtId="0" fontId="0" fillId="9" borderId="28" xfId="0" applyFill="1" applyBorder="1"/>
    <xf numFmtId="0" fontId="0" fillId="9" borderId="30" xfId="0" applyFill="1" applyBorder="1"/>
    <xf numFmtId="169" fontId="0" fillId="8" borderId="28" xfId="0" applyNumberFormat="1" applyFill="1" applyBorder="1" applyAlignment="1">
      <alignment horizontal="center"/>
    </xf>
    <xf numFmtId="0" fontId="0" fillId="9" borderId="27" xfId="0" applyFill="1" applyBorder="1" applyAlignment="1">
      <alignment horizontal="left"/>
    </xf>
    <xf numFmtId="0" fontId="0" fillId="9" borderId="29" xfId="0" applyFill="1" applyBorder="1" applyAlignment="1">
      <alignment horizontal="left"/>
    </xf>
    <xf numFmtId="0" fontId="0" fillId="0" borderId="0" xfId="0" applyAlignment="1">
      <alignment horizontal="left"/>
    </xf>
    <xf numFmtId="3" fontId="0" fillId="8" borderId="31" xfId="0" applyNumberFormat="1" applyFill="1" applyBorder="1" applyAlignment="1">
      <alignment horizontal="left"/>
    </xf>
    <xf numFmtId="169" fontId="0" fillId="8" borderId="32" xfId="0" applyNumberFormat="1" applyFill="1" applyBorder="1" applyAlignment="1">
      <alignment horizontal="center"/>
    </xf>
    <xf numFmtId="3" fontId="0" fillId="5" borderId="33" xfId="0" applyNumberFormat="1" applyFill="1" applyBorder="1" applyAlignment="1">
      <alignment horizontal="left"/>
    </xf>
    <xf numFmtId="168" fontId="0" fillId="5" borderId="34" xfId="0" applyNumberFormat="1" applyFill="1" applyBorder="1" applyAlignment="1">
      <alignment horizontal="righ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3" fontId="0" fillId="0" borderId="35" xfId="0" applyNumberFormat="1" applyBorder="1" applyAlignment="1">
      <alignment horizontal="left"/>
    </xf>
    <xf numFmtId="0" fontId="0" fillId="0" borderId="35" xfId="0" applyBorder="1" applyAlignment="1">
      <alignment horizontal="center"/>
    </xf>
    <xf numFmtId="16" fontId="5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8" fontId="0" fillId="0" borderId="0" xfId="0" applyNumberFormat="1" applyAlignment="1">
      <alignment horizontal="right"/>
    </xf>
    <xf numFmtId="2" fontId="0" fillId="0" borderId="0" xfId="0" applyNumberFormat="1"/>
    <xf numFmtId="2" fontId="5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5" fontId="1" fillId="3" borderId="38" xfId="0" applyNumberFormat="1" applyFont="1" applyFill="1" applyBorder="1" applyAlignment="1">
      <alignment horizontal="center" vertical="center"/>
    </xf>
    <xf numFmtId="172" fontId="1" fillId="2" borderId="39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2" borderId="20" xfId="0" applyFont="1" applyFill="1" applyBorder="1" applyAlignment="1">
      <alignment horizontal="center" vertical="center"/>
    </xf>
    <xf numFmtId="165" fontId="1" fillId="2" borderId="20" xfId="0" applyNumberFormat="1" applyFont="1" applyFill="1" applyBorder="1" applyAlignment="1">
      <alignment horizontal="center" vertical="center"/>
    </xf>
    <xf numFmtId="16" fontId="1" fillId="0" borderId="14" xfId="0" applyNumberFormat="1" applyFont="1" applyBorder="1" applyAlignment="1">
      <alignment horizontal="center" vertical="center"/>
    </xf>
    <xf numFmtId="167" fontId="1" fillId="0" borderId="19" xfId="0" applyNumberFormat="1" applyFont="1" applyBorder="1" applyAlignment="1">
      <alignment horizontal="center" vertical="center"/>
    </xf>
    <xf numFmtId="165" fontId="1" fillId="2" borderId="39" xfId="0" applyNumberFormat="1" applyFont="1" applyFill="1" applyBorder="1" applyAlignment="1">
      <alignment horizontal="center" vertical="center"/>
    </xf>
    <xf numFmtId="165" fontId="1" fillId="2" borderId="19" xfId="0" applyNumberFormat="1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" fontId="3" fillId="2" borderId="14" xfId="0" applyNumberFormat="1" applyFont="1" applyFill="1" applyBorder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165" fontId="1" fillId="2" borderId="39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 vertical="center"/>
    </xf>
    <xf numFmtId="165" fontId="1" fillId="2" borderId="21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65" fontId="1" fillId="2" borderId="19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65" fontId="6" fillId="2" borderId="39" xfId="0" applyNumberFormat="1" applyFont="1" applyFill="1" applyBorder="1" applyAlignment="1">
      <alignment horizontal="center" vertical="center"/>
    </xf>
    <xf numFmtId="172" fontId="6" fillId="2" borderId="39" xfId="0" applyNumberFormat="1" applyFont="1" applyFill="1" applyBorder="1" applyAlignment="1">
      <alignment horizontal="center"/>
    </xf>
    <xf numFmtId="173" fontId="3" fillId="2" borderId="40" xfId="0" applyNumberFormat="1" applyFont="1" applyFill="1" applyBorder="1" applyAlignment="1">
      <alignment horizontal="center" vertical="center"/>
    </xf>
    <xf numFmtId="164" fontId="1" fillId="0" borderId="41" xfId="0" applyNumberFormat="1" applyFont="1" applyBorder="1" applyAlignment="1">
      <alignment horizontal="right"/>
    </xf>
    <xf numFmtId="165" fontId="6" fillId="2" borderId="39" xfId="0" applyNumberFormat="1" applyFont="1" applyFill="1" applyBorder="1" applyAlignment="1">
      <alignment horizontal="center"/>
    </xf>
    <xf numFmtId="164" fontId="3" fillId="2" borderId="53" xfId="0" applyNumberFormat="1" applyFont="1" applyFill="1" applyBorder="1" applyAlignment="1">
      <alignment horizontal="center" vertical="center"/>
    </xf>
    <xf numFmtId="166" fontId="3" fillId="2" borderId="53" xfId="0" applyNumberFormat="1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165" fontId="1" fillId="2" borderId="56" xfId="0" applyNumberFormat="1" applyFont="1" applyFill="1" applyBorder="1" applyAlignment="1">
      <alignment horizontal="center" vertical="center"/>
    </xf>
    <xf numFmtId="166" fontId="3" fillId="2" borderId="56" xfId="0" applyNumberFormat="1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165" fontId="1" fillId="2" borderId="57" xfId="0" applyNumberFormat="1" applyFont="1" applyFill="1" applyBorder="1" applyAlignment="1">
      <alignment horizontal="center" vertical="center"/>
    </xf>
    <xf numFmtId="166" fontId="3" fillId="2" borderId="57" xfId="0" applyNumberFormat="1" applyFont="1" applyFill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165" fontId="1" fillId="2" borderId="58" xfId="0" applyNumberFormat="1" applyFont="1" applyFill="1" applyBorder="1" applyAlignment="1">
      <alignment horizontal="center" vertical="center"/>
    </xf>
    <xf numFmtId="166" fontId="3" fillId="2" borderId="58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2" fontId="4" fillId="4" borderId="60" xfId="0" applyNumberFormat="1" applyFont="1" applyFill="1" applyBorder="1" applyAlignment="1">
      <alignment horizontal="center" vertical="center"/>
    </xf>
    <xf numFmtId="173" fontId="3" fillId="2" borderId="64" xfId="0" applyNumberFormat="1" applyFont="1" applyFill="1" applyBorder="1" applyAlignment="1">
      <alignment horizontal="center" vertical="center"/>
    </xf>
    <xf numFmtId="175" fontId="3" fillId="2" borderId="17" xfId="0" applyNumberFormat="1" applyFont="1" applyFill="1" applyBorder="1" applyAlignment="1">
      <alignment horizontal="center" vertical="center"/>
    </xf>
    <xf numFmtId="174" fontId="1" fillId="0" borderId="0" xfId="0" applyNumberFormat="1" applyFont="1" applyAlignment="1">
      <alignment horizontal="center" vertical="center"/>
    </xf>
    <xf numFmtId="44" fontId="7" fillId="0" borderId="0" xfId="1" applyFont="1" applyAlignment="1">
      <alignment horizontal="center"/>
    </xf>
    <xf numFmtId="165" fontId="1" fillId="2" borderId="60" xfId="0" applyNumberFormat="1" applyFont="1" applyFill="1" applyBorder="1" applyAlignment="1">
      <alignment horizontal="center" vertical="center"/>
    </xf>
    <xf numFmtId="167" fontId="1" fillId="0" borderId="60" xfId="0" applyNumberFormat="1" applyFont="1" applyBorder="1" applyAlignment="1">
      <alignment horizontal="center" vertical="center"/>
    </xf>
    <xf numFmtId="165" fontId="6" fillId="2" borderId="60" xfId="0" applyNumberFormat="1" applyFont="1" applyFill="1" applyBorder="1" applyAlignment="1">
      <alignment horizontal="center" vertical="center"/>
    </xf>
    <xf numFmtId="176" fontId="6" fillId="2" borderId="39" xfId="0" applyNumberFormat="1" applyFont="1" applyFill="1" applyBorder="1" applyAlignment="1">
      <alignment horizontal="center" vertical="center"/>
    </xf>
    <xf numFmtId="176" fontId="6" fillId="2" borderId="60" xfId="0" applyNumberFormat="1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/>
    </xf>
    <xf numFmtId="176" fontId="6" fillId="3" borderId="6" xfId="0" applyNumberFormat="1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left"/>
    </xf>
    <xf numFmtId="176" fontId="9" fillId="0" borderId="0" xfId="1" applyNumberFormat="1" applyFont="1" applyAlignment="1">
      <alignment horizontal="center"/>
    </xf>
    <xf numFmtId="176" fontId="6" fillId="3" borderId="38" xfId="0" applyNumberFormat="1" applyFont="1" applyFill="1" applyBorder="1" applyAlignment="1">
      <alignment horizontal="center" vertical="center"/>
    </xf>
    <xf numFmtId="176" fontId="6" fillId="2" borderId="39" xfId="0" applyNumberFormat="1" applyFont="1" applyFill="1" applyBorder="1" applyAlignment="1">
      <alignment horizontal="center"/>
    </xf>
    <xf numFmtId="176" fontId="6" fillId="2" borderId="15" xfId="0" applyNumberFormat="1" applyFont="1" applyFill="1" applyBorder="1" applyAlignment="1">
      <alignment horizontal="center" vertical="center"/>
    </xf>
    <xf numFmtId="16" fontId="1" fillId="0" borderId="67" xfId="0" applyNumberFormat="1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167" fontId="1" fillId="0" borderId="68" xfId="0" applyNumberFormat="1" applyFont="1" applyBorder="1" applyAlignment="1">
      <alignment horizontal="center" vertical="center"/>
    </xf>
    <xf numFmtId="165" fontId="1" fillId="2" borderId="68" xfId="0" applyNumberFormat="1" applyFont="1" applyFill="1" applyBorder="1" applyAlignment="1">
      <alignment horizontal="center" vertical="center"/>
    </xf>
    <xf numFmtId="176" fontId="6" fillId="2" borderId="68" xfId="0" applyNumberFormat="1" applyFont="1" applyFill="1" applyBorder="1" applyAlignment="1">
      <alignment horizontal="center" vertical="center"/>
    </xf>
    <xf numFmtId="172" fontId="1" fillId="2" borderId="68" xfId="0" applyNumberFormat="1" applyFont="1" applyFill="1" applyBorder="1" applyAlignment="1">
      <alignment horizontal="center"/>
    </xf>
    <xf numFmtId="172" fontId="6" fillId="2" borderId="68" xfId="0" applyNumberFormat="1" applyFont="1" applyFill="1" applyBorder="1" applyAlignment="1">
      <alignment horizontal="center"/>
    </xf>
    <xf numFmtId="165" fontId="6" fillId="2" borderId="68" xfId="0" applyNumberFormat="1" applyFont="1" applyFill="1" applyBorder="1" applyAlignment="1">
      <alignment horizontal="center" vertical="center"/>
    </xf>
    <xf numFmtId="164" fontId="1" fillId="2" borderId="68" xfId="0" applyNumberFormat="1" applyFont="1" applyFill="1" applyBorder="1" applyAlignment="1">
      <alignment horizontal="center"/>
    </xf>
    <xf numFmtId="2" fontId="4" fillId="4" borderId="68" xfId="0" applyNumberFormat="1" applyFont="1" applyFill="1" applyBorder="1" applyAlignment="1">
      <alignment horizontal="center" vertical="center"/>
    </xf>
    <xf numFmtId="166" fontId="3" fillId="2" borderId="68" xfId="0" applyNumberFormat="1" applyFont="1" applyFill="1" applyBorder="1" applyAlignment="1">
      <alignment horizontal="center" vertical="center"/>
    </xf>
    <xf numFmtId="166" fontId="3" fillId="2" borderId="69" xfId="0" applyNumberFormat="1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176" fontId="6" fillId="2" borderId="19" xfId="0" applyNumberFormat="1" applyFont="1" applyFill="1" applyBorder="1" applyAlignment="1">
      <alignment horizontal="center" vertical="center"/>
    </xf>
    <xf numFmtId="172" fontId="1" fillId="2" borderId="19" xfId="0" applyNumberFormat="1" applyFont="1" applyFill="1" applyBorder="1" applyAlignment="1">
      <alignment horizontal="center"/>
    </xf>
    <xf numFmtId="172" fontId="6" fillId="2" borderId="19" xfId="0" applyNumberFormat="1" applyFont="1" applyFill="1" applyBorder="1" applyAlignment="1">
      <alignment horizontal="center"/>
    </xf>
    <xf numFmtId="165" fontId="6" fillId="2" borderId="19" xfId="0" applyNumberFormat="1" applyFont="1" applyFill="1" applyBorder="1" applyAlignment="1">
      <alignment horizontal="center" vertical="center"/>
    </xf>
    <xf numFmtId="164" fontId="1" fillId="2" borderId="19" xfId="0" applyNumberFormat="1" applyFont="1" applyFill="1" applyBorder="1" applyAlignment="1">
      <alignment horizontal="center"/>
    </xf>
    <xf numFmtId="2" fontId="4" fillId="4" borderId="19" xfId="0" applyNumberFormat="1" applyFont="1" applyFill="1" applyBorder="1" applyAlignment="1">
      <alignment horizontal="center" vertical="center"/>
    </xf>
    <xf numFmtId="166" fontId="3" fillId="2" borderId="19" xfId="0" applyNumberFormat="1" applyFont="1" applyFill="1" applyBorder="1" applyAlignment="1">
      <alignment horizontal="center" vertical="center"/>
    </xf>
    <xf numFmtId="166" fontId="3" fillId="2" borderId="16" xfId="0" applyNumberFormat="1" applyFont="1" applyFill="1" applyBorder="1" applyAlignment="1">
      <alignment horizontal="center" vertical="center"/>
    </xf>
    <xf numFmtId="16" fontId="1" fillId="0" borderId="71" xfId="0" applyNumberFormat="1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172" fontId="1" fillId="2" borderId="60" xfId="0" applyNumberFormat="1" applyFont="1" applyFill="1" applyBorder="1" applyAlignment="1">
      <alignment horizontal="center"/>
    </xf>
    <xf numFmtId="172" fontId="6" fillId="2" borderId="60" xfId="0" applyNumberFormat="1" applyFont="1" applyFill="1" applyBorder="1" applyAlignment="1">
      <alignment horizontal="center"/>
    </xf>
    <xf numFmtId="164" fontId="1" fillId="2" borderId="60" xfId="0" applyNumberFormat="1" applyFont="1" applyFill="1" applyBorder="1" applyAlignment="1">
      <alignment horizontal="center"/>
    </xf>
    <xf numFmtId="166" fontId="3" fillId="2" borderId="60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76" fontId="6" fillId="2" borderId="59" xfId="0" applyNumberFormat="1" applyFont="1" applyFill="1" applyBorder="1" applyAlignment="1">
      <alignment horizontal="center" vertical="center"/>
    </xf>
    <xf numFmtId="176" fontId="6" fillId="2" borderId="60" xfId="0" applyNumberFormat="1" applyFont="1" applyFill="1" applyBorder="1" applyAlignment="1">
      <alignment horizontal="center" vertical="center"/>
    </xf>
    <xf numFmtId="165" fontId="6" fillId="2" borderId="59" xfId="0" applyNumberFormat="1" applyFont="1" applyFill="1" applyBorder="1" applyAlignment="1">
      <alignment horizontal="center" vertical="center"/>
    </xf>
    <xf numFmtId="165" fontId="6" fillId="2" borderId="60" xfId="0" applyNumberFormat="1" applyFont="1" applyFill="1" applyBorder="1" applyAlignment="1">
      <alignment horizontal="center" vertical="center"/>
    </xf>
    <xf numFmtId="164" fontId="1" fillId="2" borderId="59" xfId="0" applyNumberFormat="1" applyFont="1" applyFill="1" applyBorder="1" applyAlignment="1">
      <alignment horizontal="center" vertical="center"/>
    </xf>
    <xf numFmtId="164" fontId="1" fillId="2" borderId="60" xfId="0" applyNumberFormat="1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16" fontId="1" fillId="0" borderId="61" xfId="0" applyNumberFormat="1" applyFont="1" applyBorder="1" applyAlignment="1">
      <alignment horizontal="center" vertical="center"/>
    </xf>
    <xf numFmtId="16" fontId="1" fillId="0" borderId="62" xfId="0" applyNumberFormat="1" applyFont="1" applyBorder="1" applyAlignment="1">
      <alignment horizontal="center" vertical="center"/>
    </xf>
    <xf numFmtId="16" fontId="1" fillId="0" borderId="63" xfId="0" applyNumberFormat="1" applyFont="1" applyBorder="1" applyAlignment="1">
      <alignment horizontal="center" vertical="center"/>
    </xf>
    <xf numFmtId="165" fontId="1" fillId="2" borderId="59" xfId="0" applyNumberFormat="1" applyFont="1" applyFill="1" applyBorder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60" xfId="0" applyNumberFormat="1" applyFont="1" applyFill="1" applyBorder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67" fontId="1" fillId="0" borderId="59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1" fillId="0" borderId="60" xfId="0" applyNumberFormat="1" applyFont="1" applyBorder="1" applyAlignment="1">
      <alignment horizontal="center" vertical="center"/>
    </xf>
    <xf numFmtId="172" fontId="6" fillId="2" borderId="59" xfId="0" applyNumberFormat="1" applyFont="1" applyFill="1" applyBorder="1" applyAlignment="1">
      <alignment horizontal="center" vertical="center"/>
    </xf>
    <xf numFmtId="172" fontId="6" fillId="2" borderId="0" xfId="0" applyNumberFormat="1" applyFont="1" applyFill="1" applyAlignment="1">
      <alignment horizontal="center" vertical="center"/>
    </xf>
    <xf numFmtId="172" fontId="6" fillId="2" borderId="60" xfId="0" applyNumberFormat="1" applyFont="1" applyFill="1" applyBorder="1" applyAlignment="1">
      <alignment horizontal="center" vertical="center"/>
    </xf>
    <xf numFmtId="172" fontId="1" fillId="2" borderId="59" xfId="0" applyNumberFormat="1" applyFont="1" applyFill="1" applyBorder="1" applyAlignment="1">
      <alignment horizontal="center" vertical="center"/>
    </xf>
    <xf numFmtId="172" fontId="1" fillId="2" borderId="0" xfId="0" applyNumberFormat="1" applyFont="1" applyFill="1" applyAlignment="1">
      <alignment horizontal="center" vertical="center"/>
    </xf>
    <xf numFmtId="172" fontId="1" fillId="2" borderId="60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2" fontId="4" fillId="4" borderId="42" xfId="0" applyNumberFormat="1" applyFont="1" applyFill="1" applyBorder="1" applyAlignment="1">
      <alignment horizontal="center" vertical="center"/>
    </xf>
    <xf numFmtId="2" fontId="4" fillId="4" borderId="65" xfId="0" applyNumberFormat="1" applyFont="1" applyFill="1" applyBorder="1" applyAlignment="1">
      <alignment horizontal="center" vertical="center"/>
    </xf>
    <xf numFmtId="2" fontId="4" fillId="4" borderId="43" xfId="0" applyNumberFormat="1" applyFont="1" applyFill="1" applyBorder="1" applyAlignment="1">
      <alignment horizontal="center" vertical="center"/>
    </xf>
    <xf numFmtId="168" fontId="1" fillId="0" borderId="44" xfId="0" applyNumberFormat="1" applyFont="1" applyBorder="1" applyAlignment="1">
      <alignment horizontal="center"/>
    </xf>
    <xf numFmtId="168" fontId="1" fillId="0" borderId="66" xfId="0" applyNumberFormat="1" applyFont="1" applyBorder="1" applyAlignment="1">
      <alignment horizontal="center"/>
    </xf>
    <xf numFmtId="168" fontId="1" fillId="0" borderId="45" xfId="0" applyNumberFormat="1" applyFont="1" applyBorder="1" applyAlignment="1">
      <alignment horizontal="center"/>
    </xf>
    <xf numFmtId="173" fontId="3" fillId="2" borderId="42" xfId="0" applyNumberFormat="1" applyFont="1" applyFill="1" applyBorder="1" applyAlignment="1">
      <alignment horizontal="center" vertical="center"/>
    </xf>
    <xf numFmtId="173" fontId="3" fillId="2" borderId="65" xfId="0" applyNumberFormat="1" applyFont="1" applyFill="1" applyBorder="1" applyAlignment="1">
      <alignment horizontal="center" vertical="center"/>
    </xf>
    <xf numFmtId="173" fontId="3" fillId="2" borderId="43" xfId="0" applyNumberFormat="1" applyFont="1" applyFill="1" applyBorder="1" applyAlignment="1">
      <alignment horizontal="center" vertical="center"/>
    </xf>
    <xf numFmtId="164" fontId="3" fillId="2" borderId="56" xfId="0" applyNumberFormat="1" applyFont="1" applyFill="1" applyBorder="1" applyAlignment="1">
      <alignment horizontal="center" vertical="center"/>
    </xf>
    <xf numFmtId="164" fontId="3" fillId="2" borderId="58" xfId="0" applyNumberFormat="1" applyFont="1" applyFill="1" applyBorder="1" applyAlignment="1">
      <alignment horizontal="center" vertical="center"/>
    </xf>
    <xf numFmtId="164" fontId="3" fillId="2" borderId="57" xfId="0" applyNumberFormat="1" applyFont="1" applyFill="1" applyBorder="1" applyAlignment="1">
      <alignment horizontal="center" vertical="center"/>
    </xf>
    <xf numFmtId="166" fontId="4" fillId="4" borderId="56" xfId="0" applyNumberFormat="1" applyFont="1" applyFill="1" applyBorder="1" applyAlignment="1">
      <alignment horizontal="center" vertical="center"/>
    </xf>
    <xf numFmtId="2" fontId="4" fillId="4" borderId="58" xfId="0" applyNumberFormat="1" applyFont="1" applyFill="1" applyBorder="1" applyAlignment="1">
      <alignment horizontal="center" vertical="center"/>
    </xf>
    <xf numFmtId="2" fontId="4" fillId="4" borderId="59" xfId="0" applyNumberFormat="1" applyFont="1" applyFill="1" applyBorder="1" applyAlignment="1">
      <alignment horizontal="center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60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16" fontId="1" fillId="0" borderId="51" xfId="0" applyNumberFormat="1" applyFont="1" applyBorder="1" applyAlignment="1">
      <alignment horizontal="center" vertical="center"/>
    </xf>
    <xf numFmtId="16" fontId="1" fillId="0" borderId="52" xfId="0" applyNumberFormat="1" applyFont="1" applyBorder="1" applyAlignment="1">
      <alignment horizontal="center" vertical="center"/>
    </xf>
    <xf numFmtId="167" fontId="1" fillId="0" borderId="46" xfId="0" applyNumberFormat="1" applyFont="1" applyBorder="1" applyAlignment="1">
      <alignment horizontal="center" vertical="center"/>
    </xf>
    <xf numFmtId="167" fontId="1" fillId="0" borderId="21" xfId="0" applyNumberFormat="1" applyFont="1" applyBorder="1" applyAlignment="1">
      <alignment horizontal="center" vertical="center"/>
    </xf>
    <xf numFmtId="164" fontId="3" fillId="2" borderId="47" xfId="0" applyNumberFormat="1" applyFont="1" applyFill="1" applyBorder="1" applyAlignment="1">
      <alignment horizontal="center" vertical="center"/>
    </xf>
    <xf numFmtId="164" fontId="3" fillId="2" borderId="17" xfId="0" applyNumberFormat="1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5" fillId="0" borderId="25" xfId="0" applyNumberFormat="1" applyFont="1" applyBorder="1" applyAlignment="1">
      <alignment horizontal="center"/>
    </xf>
    <xf numFmtId="16" fontId="5" fillId="0" borderId="26" xfId="0" applyNumberFormat="1" applyFont="1" applyBorder="1" applyAlignment="1">
      <alignment horizontal="center"/>
    </xf>
    <xf numFmtId="0" fontId="0" fillId="9" borderId="0" xfId="0" applyFill="1" applyAlignment="1">
      <alignment horizontal="center" textRotation="90" wrapText="1"/>
    </xf>
    <xf numFmtId="0" fontId="0" fillId="8" borderId="0" xfId="0" applyFill="1" applyAlignment="1">
      <alignment horizontal="center" vertical="center" textRotation="90"/>
    </xf>
    <xf numFmtId="0" fontId="0" fillId="5" borderId="0" xfId="0" applyFill="1" applyAlignment="1">
      <alignment horizontal="center" textRotation="90"/>
    </xf>
    <xf numFmtId="0" fontId="0" fillId="6" borderId="0" xfId="0" applyFill="1" applyAlignment="1">
      <alignment horizontal="center" vertical="center" textRotation="90" wrapText="1"/>
    </xf>
    <xf numFmtId="0" fontId="0" fillId="7" borderId="0" xfId="0" applyFill="1" applyAlignment="1">
      <alignment horizontal="center" vertical="center" textRotation="90" wrapText="1"/>
    </xf>
    <xf numFmtId="170" fontId="0" fillId="6" borderId="36" xfId="0" applyNumberFormat="1" applyFill="1" applyBorder="1" applyAlignment="1">
      <alignment horizontal="center"/>
    </xf>
    <xf numFmtId="170" fontId="0" fillId="6" borderId="37" xfId="0" applyNumberFormat="1" applyFill="1" applyBorder="1" applyAlignment="1">
      <alignment horizontal="center"/>
    </xf>
    <xf numFmtId="170" fontId="0" fillId="7" borderId="36" xfId="0" applyNumberFormat="1" applyFill="1" applyBorder="1" applyAlignment="1">
      <alignment horizontal="center"/>
    </xf>
    <xf numFmtId="170" fontId="0" fillId="7" borderId="37" xfId="0" applyNumberFormat="1" applyFill="1" applyBorder="1" applyAlignment="1">
      <alignment horizontal="center"/>
    </xf>
    <xf numFmtId="171" fontId="0" fillId="9" borderId="36" xfId="0" applyNumberFormat="1" applyFill="1" applyBorder="1" applyAlignment="1">
      <alignment horizontal="center"/>
    </xf>
    <xf numFmtId="171" fontId="0" fillId="9" borderId="37" xfId="0" applyNumberFormat="1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164" fontId="0" fillId="9" borderId="36" xfId="0" applyNumberFormat="1" applyFill="1" applyBorder="1" applyAlignment="1">
      <alignment horizontal="center"/>
    </xf>
    <xf numFmtId="164" fontId="0" fillId="9" borderId="37" xfId="0" applyNumberForma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79DC-FA87-4576-9918-8545C57738BB}">
  <dimension ref="A4:AA96"/>
  <sheetViews>
    <sheetView showGridLines="0" showZeros="0" tabSelected="1" view="pageBreakPreview" zoomScale="70" zoomScaleNormal="100" zoomScaleSheetLayoutView="70" workbookViewId="0">
      <selection activeCell="T37" sqref="T37"/>
    </sheetView>
  </sheetViews>
  <sheetFormatPr defaultColWidth="11.85546875" defaultRowHeight="12.75"/>
  <cols>
    <col min="1" max="1" width="12.42578125" style="2" bestFit="1" customWidth="1"/>
    <col min="2" max="2" width="13.42578125" style="3" bestFit="1" customWidth="1"/>
    <col min="3" max="3" width="14" style="4" bestFit="1" customWidth="1"/>
    <col min="4" max="4" width="13.5703125" style="4" bestFit="1" customWidth="1"/>
    <col min="5" max="5" width="8.28515625" style="115" bestFit="1" customWidth="1"/>
    <col min="6" max="6" width="15.42578125" style="4" bestFit="1" customWidth="1"/>
    <col min="7" max="7" width="11.42578125" style="4" bestFit="1" customWidth="1"/>
    <col min="8" max="8" width="17.85546875" style="4" bestFit="1" customWidth="1"/>
    <col min="9" max="9" width="10" style="115" bestFit="1" customWidth="1"/>
    <col min="10" max="10" width="20" style="4" bestFit="1" customWidth="1"/>
    <col min="11" max="11" width="17.140625" style="115" bestFit="1" customWidth="1"/>
    <col min="12" max="12" width="7.42578125" style="4" bestFit="1" customWidth="1"/>
    <col min="13" max="13" width="17.140625" style="4" bestFit="1" customWidth="1"/>
    <col min="14" max="14" width="16.42578125" style="4" bestFit="1" customWidth="1"/>
    <col min="15" max="15" width="34.28515625" style="2" bestFit="1" customWidth="1"/>
    <col min="16" max="16" width="22.42578125" style="2" bestFit="1" customWidth="1"/>
    <col min="17" max="17" width="12.5703125" style="2" bestFit="1" customWidth="1"/>
    <col min="18" max="18" width="8.85546875" style="2" bestFit="1" customWidth="1"/>
    <col min="19" max="19" width="16.42578125" style="5" bestFit="1" customWidth="1"/>
    <col min="20" max="20" width="16.42578125" style="2" bestFit="1" customWidth="1"/>
    <col min="21" max="22" width="12.5703125" style="2" bestFit="1" customWidth="1"/>
    <col min="23" max="23" width="13.140625" style="2" bestFit="1" customWidth="1"/>
    <col min="24" max="24" width="12.5703125" style="2" bestFit="1" customWidth="1"/>
    <col min="25" max="25" width="10.28515625" style="2" bestFit="1" customWidth="1"/>
    <col min="26" max="27" width="9.5703125" style="2" bestFit="1" customWidth="1"/>
    <col min="28" max="16384" width="11.85546875" style="2"/>
  </cols>
  <sheetData>
    <row r="4" spans="1:27" ht="13.5" thickBot="1"/>
    <row r="5" spans="1:27" ht="13.5" thickBot="1">
      <c r="D5" s="175" t="s">
        <v>0</v>
      </c>
      <c r="E5" s="176"/>
      <c r="F5" s="177"/>
      <c r="G5" s="177"/>
      <c r="H5" s="177"/>
      <c r="I5" s="177"/>
      <c r="J5" s="177"/>
      <c r="K5" s="177"/>
      <c r="L5" s="177"/>
      <c r="M5" s="177"/>
      <c r="N5" s="178"/>
      <c r="U5" s="179" t="s">
        <v>17</v>
      </c>
      <c r="V5" s="180"/>
      <c r="W5" s="180"/>
      <c r="X5" s="180"/>
      <c r="Y5" s="180"/>
      <c r="Z5" s="180"/>
      <c r="AA5" s="181"/>
    </row>
    <row r="6" spans="1:27" s="7" customFormat="1">
      <c r="A6" s="8" t="s">
        <v>1</v>
      </c>
      <c r="B6" s="9" t="s">
        <v>65</v>
      </c>
      <c r="C6" s="10" t="s">
        <v>0</v>
      </c>
      <c r="D6" s="11" t="s">
        <v>2</v>
      </c>
      <c r="E6" s="119"/>
      <c r="F6" s="58" t="s">
        <v>56</v>
      </c>
      <c r="G6" s="58"/>
      <c r="H6" s="12" t="s">
        <v>3</v>
      </c>
      <c r="I6" s="116"/>
      <c r="J6" s="12" t="s">
        <v>18</v>
      </c>
      <c r="K6" s="116" t="s">
        <v>4</v>
      </c>
      <c r="L6" s="12"/>
      <c r="M6" s="12" t="s">
        <v>5</v>
      </c>
      <c r="N6" s="13" t="s">
        <v>6</v>
      </c>
      <c r="O6" s="6" t="s">
        <v>16</v>
      </c>
      <c r="P6" s="14" t="s">
        <v>7</v>
      </c>
      <c r="Q6" s="14"/>
      <c r="R6" s="14"/>
      <c r="S6" s="15" t="s">
        <v>6</v>
      </c>
      <c r="T6" s="14" t="s">
        <v>8</v>
      </c>
      <c r="U6" s="11" t="s">
        <v>9</v>
      </c>
      <c r="V6" s="12" t="s">
        <v>10</v>
      </c>
      <c r="W6" s="12" t="s">
        <v>11</v>
      </c>
      <c r="X6" s="12" t="s">
        <v>12</v>
      </c>
      <c r="Y6" s="12" t="s">
        <v>13</v>
      </c>
      <c r="Z6" s="12" t="s">
        <v>14</v>
      </c>
      <c r="AA6" s="16" t="s">
        <v>15</v>
      </c>
    </row>
    <row r="7" spans="1:27" s="61" customFormat="1">
      <c r="A7" s="64">
        <v>45664</v>
      </c>
      <c r="B7" s="149" t="s">
        <v>68</v>
      </c>
      <c r="C7" s="65">
        <v>4</v>
      </c>
      <c r="D7" s="67">
        <v>4</v>
      </c>
      <c r="E7" s="135">
        <f>C7*D7</f>
        <v>16</v>
      </c>
      <c r="F7" s="136">
        <v>80</v>
      </c>
      <c r="G7" s="137">
        <f>F7*C7</f>
        <v>320</v>
      </c>
      <c r="H7" s="67">
        <v>6</v>
      </c>
      <c r="I7" s="135">
        <f>+H7*C7</f>
        <v>24</v>
      </c>
      <c r="J7" s="67"/>
      <c r="K7" s="135"/>
      <c r="L7" s="138">
        <f>K7*C7</f>
        <v>0</v>
      </c>
      <c r="M7" s="67"/>
      <c r="N7" s="139">
        <v>1</v>
      </c>
      <c r="O7" s="140">
        <f>P7/C7</f>
        <v>84</v>
      </c>
      <c r="P7" s="141">
        <f>56*6</f>
        <v>336</v>
      </c>
      <c r="Q7" s="108">
        <f t="shared" ref="Q7" si="0">P7/144</f>
        <v>2.3333333333333335</v>
      </c>
      <c r="R7" s="107">
        <f t="shared" ref="R7" si="1">P7/50</f>
        <v>6.72</v>
      </c>
      <c r="S7" s="19">
        <v>4</v>
      </c>
      <c r="T7" s="20">
        <v>4</v>
      </c>
      <c r="U7" s="62" t="s">
        <v>69</v>
      </c>
      <c r="V7" s="68" t="s">
        <v>59</v>
      </c>
      <c r="W7" s="68" t="s">
        <v>67</v>
      </c>
      <c r="X7" s="68" t="s">
        <v>57</v>
      </c>
      <c r="Y7" s="68"/>
      <c r="Z7" s="68"/>
      <c r="AA7" s="69"/>
    </row>
    <row r="8" spans="1:27" s="61" customFormat="1">
      <c r="A8" s="64">
        <v>45665</v>
      </c>
      <c r="B8" s="134" t="s">
        <v>64</v>
      </c>
      <c r="C8" s="65">
        <v>6</v>
      </c>
      <c r="D8" s="67">
        <v>5.5</v>
      </c>
      <c r="E8" s="135">
        <f>C8*D8</f>
        <v>33</v>
      </c>
      <c r="F8" s="136"/>
      <c r="G8" s="137">
        <f>F8*C8</f>
        <v>0</v>
      </c>
      <c r="H8" s="67"/>
      <c r="I8" s="135">
        <f>+H8*C8</f>
        <v>0</v>
      </c>
      <c r="J8" s="67"/>
      <c r="K8" s="135">
        <v>5.5</v>
      </c>
      <c r="L8" s="138">
        <f>K8*C8</f>
        <v>33</v>
      </c>
      <c r="M8" s="67"/>
      <c r="N8" s="139">
        <v>1</v>
      </c>
      <c r="O8" s="140">
        <f>P8/C8</f>
        <v>1.1666666666666667</v>
      </c>
      <c r="P8" s="141">
        <v>7</v>
      </c>
      <c r="Q8" s="141"/>
      <c r="R8" s="142"/>
      <c r="S8" s="19">
        <v>6</v>
      </c>
      <c r="T8" s="20">
        <v>3</v>
      </c>
      <c r="U8" s="62" t="s">
        <v>70</v>
      </c>
      <c r="V8" s="68" t="s">
        <v>60</v>
      </c>
      <c r="W8" s="68" t="s">
        <v>57</v>
      </c>
      <c r="X8" s="68"/>
      <c r="Y8" s="68"/>
      <c r="Z8" s="68"/>
      <c r="AA8" s="69"/>
    </row>
    <row r="9" spans="1:27" s="61" customFormat="1" ht="13.5" thickBot="1">
      <c r="A9" s="143">
        <v>45666</v>
      </c>
      <c r="B9" s="144" t="s">
        <v>68</v>
      </c>
      <c r="C9" s="111">
        <v>16</v>
      </c>
      <c r="D9" s="110">
        <v>4</v>
      </c>
      <c r="E9" s="114">
        <f>C9*D9</f>
        <v>64</v>
      </c>
      <c r="F9" s="145">
        <v>80</v>
      </c>
      <c r="G9" s="146">
        <f>F9*C9</f>
        <v>1280</v>
      </c>
      <c r="H9" s="110">
        <v>6</v>
      </c>
      <c r="I9" s="114">
        <f>+H9*C9</f>
        <v>96</v>
      </c>
      <c r="J9" s="110"/>
      <c r="K9" s="114"/>
      <c r="L9" s="112">
        <f>K9*C9</f>
        <v>0</v>
      </c>
      <c r="M9" s="110"/>
      <c r="N9" s="147">
        <v>1</v>
      </c>
      <c r="O9" s="105">
        <f>P9/C9</f>
        <v>67.125</v>
      </c>
      <c r="P9" s="148">
        <f>179*6</f>
        <v>1074</v>
      </c>
      <c r="Q9" s="108">
        <f t="shared" ref="Q9" si="2">P9/144</f>
        <v>7.458333333333333</v>
      </c>
      <c r="R9" s="107">
        <f t="shared" ref="R9" si="3">P9/50</f>
        <v>21.48</v>
      </c>
      <c r="S9" s="88">
        <v>16</v>
      </c>
      <c r="T9" s="90">
        <v>4</v>
      </c>
      <c r="U9" s="91" t="s">
        <v>67</v>
      </c>
      <c r="V9" s="92" t="s">
        <v>70</v>
      </c>
      <c r="W9" s="92" t="s">
        <v>71</v>
      </c>
      <c r="X9" s="92" t="s">
        <v>60</v>
      </c>
      <c r="Y9" s="92"/>
      <c r="Z9" s="92"/>
      <c r="AA9" s="93"/>
    </row>
    <row r="10" spans="1:27" s="61" customFormat="1" ht="13.5" thickTop="1">
      <c r="A10" s="159">
        <v>45666</v>
      </c>
      <c r="B10" s="94" t="s">
        <v>72</v>
      </c>
      <c r="C10" s="166">
        <v>12</v>
      </c>
      <c r="D10" s="162">
        <v>4</v>
      </c>
      <c r="E10" s="150">
        <f>C10*D10</f>
        <v>48</v>
      </c>
      <c r="F10" s="172">
        <v>80</v>
      </c>
      <c r="G10" s="169">
        <f>F10*C10</f>
        <v>960</v>
      </c>
      <c r="H10" s="162">
        <v>5</v>
      </c>
      <c r="I10" s="150">
        <f>+H10*C10</f>
        <v>60</v>
      </c>
      <c r="J10" s="95"/>
      <c r="K10" s="150">
        <v>1</v>
      </c>
      <c r="L10" s="152">
        <f>K10*C10</f>
        <v>12</v>
      </c>
      <c r="M10" s="95"/>
      <c r="N10" s="154">
        <v>1</v>
      </c>
      <c r="O10" s="194">
        <f>(P10+P11)/S10</f>
        <v>115.25</v>
      </c>
      <c r="P10" s="96">
        <f>445*3</f>
        <v>1335</v>
      </c>
      <c r="Q10" s="96"/>
      <c r="R10" s="96"/>
      <c r="S10" s="191">
        <v>12</v>
      </c>
      <c r="T10" s="97"/>
      <c r="U10" s="156" t="s">
        <v>70</v>
      </c>
      <c r="V10" s="156" t="s">
        <v>74</v>
      </c>
      <c r="W10" s="156" t="s">
        <v>57</v>
      </c>
      <c r="X10" s="156" t="s">
        <v>75</v>
      </c>
      <c r="Y10" s="156" t="s">
        <v>76</v>
      </c>
      <c r="Z10" s="156"/>
      <c r="AA10" s="156"/>
    </row>
    <row r="11" spans="1:27" s="61" customFormat="1" ht="13.5" thickBot="1">
      <c r="A11" s="160"/>
      <c r="B11" s="101" t="s">
        <v>73</v>
      </c>
      <c r="C11" s="168"/>
      <c r="D11" s="164"/>
      <c r="E11" s="151"/>
      <c r="F11" s="174"/>
      <c r="G11" s="171"/>
      <c r="H11" s="164"/>
      <c r="I11" s="151"/>
      <c r="J11" s="102"/>
      <c r="K11" s="151"/>
      <c r="L11" s="153"/>
      <c r="M11" s="102"/>
      <c r="N11" s="155"/>
      <c r="O11" s="195"/>
      <c r="P11" s="103">
        <f>24*2</f>
        <v>48</v>
      </c>
      <c r="Q11" s="103"/>
      <c r="R11" s="103"/>
      <c r="S11" s="192"/>
      <c r="T11" s="104">
        <v>5</v>
      </c>
      <c r="U11" s="158"/>
      <c r="V11" s="158" t="s">
        <v>74</v>
      </c>
      <c r="W11" s="158" t="s">
        <v>57</v>
      </c>
      <c r="X11" s="158" t="s">
        <v>75</v>
      </c>
      <c r="Y11" s="158" t="s">
        <v>76</v>
      </c>
      <c r="Z11" s="158"/>
      <c r="AA11" s="158"/>
    </row>
    <row r="12" spans="1:27" s="61" customFormat="1" ht="13.5" thickTop="1">
      <c r="A12" s="122">
        <v>45667</v>
      </c>
      <c r="B12" s="123" t="s">
        <v>64</v>
      </c>
      <c r="C12" s="124">
        <v>6</v>
      </c>
      <c r="D12" s="125">
        <v>5.5</v>
      </c>
      <c r="E12" s="126">
        <f>C12*D12</f>
        <v>33</v>
      </c>
      <c r="F12" s="127"/>
      <c r="G12" s="128">
        <f>F12*C12</f>
        <v>0</v>
      </c>
      <c r="H12" s="125"/>
      <c r="I12" s="126">
        <f t="shared" ref="I12:I17" si="4">+H12*C12</f>
        <v>0</v>
      </c>
      <c r="J12" s="125"/>
      <c r="K12" s="126">
        <v>5.5</v>
      </c>
      <c r="L12" s="129">
        <f>K12*C12</f>
        <v>33</v>
      </c>
      <c r="M12" s="125"/>
      <c r="N12" s="130">
        <v>1</v>
      </c>
      <c r="O12" s="131">
        <f>P12/C12</f>
        <v>1.1666666666666667</v>
      </c>
      <c r="P12" s="132">
        <v>7</v>
      </c>
      <c r="Q12" s="132"/>
      <c r="R12" s="133"/>
      <c r="S12" s="19">
        <v>6</v>
      </c>
      <c r="T12" s="20">
        <v>3</v>
      </c>
      <c r="U12" s="62" t="s">
        <v>67</v>
      </c>
      <c r="V12" s="68" t="s">
        <v>66</v>
      </c>
      <c r="W12" s="68" t="s">
        <v>57</v>
      </c>
      <c r="X12" s="68"/>
      <c r="Y12" s="68"/>
      <c r="Z12" s="68"/>
      <c r="AA12" s="69"/>
    </row>
    <row r="13" spans="1:27" s="61" customFormat="1">
      <c r="A13" s="64">
        <v>45667</v>
      </c>
      <c r="B13" s="134" t="s">
        <v>68</v>
      </c>
      <c r="C13" s="65">
        <v>9</v>
      </c>
      <c r="D13" s="67">
        <v>4</v>
      </c>
      <c r="E13" s="135">
        <f>C13*D13</f>
        <v>36</v>
      </c>
      <c r="F13" s="136">
        <v>80</v>
      </c>
      <c r="G13" s="137">
        <f>F13*C13</f>
        <v>720</v>
      </c>
      <c r="H13" s="67">
        <v>6</v>
      </c>
      <c r="I13" s="135">
        <f t="shared" si="4"/>
        <v>54</v>
      </c>
      <c r="J13" s="67"/>
      <c r="K13" s="135"/>
      <c r="L13" s="138">
        <f>K13*C13</f>
        <v>0</v>
      </c>
      <c r="M13" s="67"/>
      <c r="N13" s="139">
        <v>1</v>
      </c>
      <c r="O13" s="140">
        <f>P13/C13</f>
        <v>84.666666666666671</v>
      </c>
      <c r="P13" s="141">
        <f>127*6</f>
        <v>762</v>
      </c>
      <c r="Q13" s="108">
        <f t="shared" ref="Q13:Q16" si="5">P13/144</f>
        <v>5.291666666666667</v>
      </c>
      <c r="R13" s="107">
        <f t="shared" ref="R13:R16" si="6">P13/50</f>
        <v>15.24</v>
      </c>
      <c r="S13" s="19">
        <v>9</v>
      </c>
      <c r="T13" s="20">
        <v>3</v>
      </c>
      <c r="U13" s="62" t="s">
        <v>69</v>
      </c>
      <c r="V13" s="68" t="s">
        <v>70</v>
      </c>
      <c r="W13" s="68" t="s">
        <v>62</v>
      </c>
      <c r="X13" s="68"/>
      <c r="Y13" s="68"/>
      <c r="Z13" s="68"/>
      <c r="AA13" s="69"/>
    </row>
    <row r="14" spans="1:27" s="61" customFormat="1">
      <c r="A14" s="64">
        <v>45670</v>
      </c>
      <c r="B14" s="134" t="s">
        <v>68</v>
      </c>
      <c r="C14" s="65">
        <v>27</v>
      </c>
      <c r="D14" s="67">
        <v>4</v>
      </c>
      <c r="E14" s="135">
        <f>C14*D14</f>
        <v>108</v>
      </c>
      <c r="F14" s="136">
        <v>80</v>
      </c>
      <c r="G14" s="137">
        <f>F14*C14</f>
        <v>2160</v>
      </c>
      <c r="H14" s="67">
        <v>6</v>
      </c>
      <c r="I14" s="135">
        <f t="shared" si="4"/>
        <v>162</v>
      </c>
      <c r="J14" s="67"/>
      <c r="K14" s="135"/>
      <c r="L14" s="138">
        <f>K14*C14</f>
        <v>0</v>
      </c>
      <c r="M14" s="67"/>
      <c r="N14" s="139">
        <v>1</v>
      </c>
      <c r="O14" s="140">
        <f>P14/C14</f>
        <v>77.111111111111114</v>
      </c>
      <c r="P14" s="141">
        <f>347*6</f>
        <v>2082</v>
      </c>
      <c r="Q14" s="108">
        <f t="shared" si="5"/>
        <v>14.458333333333334</v>
      </c>
      <c r="R14" s="107">
        <f t="shared" si="6"/>
        <v>41.64</v>
      </c>
      <c r="S14" s="19">
        <v>27</v>
      </c>
      <c r="T14" s="20">
        <v>3</v>
      </c>
      <c r="U14" s="62" t="s">
        <v>71</v>
      </c>
      <c r="V14" s="68" t="s">
        <v>66</v>
      </c>
      <c r="W14" s="68" t="s">
        <v>62</v>
      </c>
      <c r="X14" s="68"/>
      <c r="Y14" s="68"/>
      <c r="Z14" s="68"/>
      <c r="AA14" s="69"/>
    </row>
    <row r="15" spans="1:27" s="61" customFormat="1">
      <c r="A15" s="64">
        <v>45671</v>
      </c>
      <c r="B15" s="134" t="s">
        <v>68</v>
      </c>
      <c r="C15" s="65">
        <v>29</v>
      </c>
      <c r="D15" s="67">
        <v>4</v>
      </c>
      <c r="E15" s="135">
        <f>C15*D15</f>
        <v>116</v>
      </c>
      <c r="F15" s="136">
        <v>80</v>
      </c>
      <c r="G15" s="137">
        <f>F15*C15</f>
        <v>2320</v>
      </c>
      <c r="H15" s="67">
        <v>6</v>
      </c>
      <c r="I15" s="135">
        <f t="shared" si="4"/>
        <v>174</v>
      </c>
      <c r="J15" s="67"/>
      <c r="K15" s="135"/>
      <c r="L15" s="138">
        <f>K15*C15</f>
        <v>0</v>
      </c>
      <c r="M15" s="67"/>
      <c r="N15" s="139">
        <v>1</v>
      </c>
      <c r="O15" s="140">
        <f>P15/C15</f>
        <v>80.068965517241381</v>
      </c>
      <c r="P15" s="141">
        <f>387*6</f>
        <v>2322</v>
      </c>
      <c r="Q15" s="108">
        <f t="shared" si="5"/>
        <v>16.125</v>
      </c>
      <c r="R15" s="107">
        <f t="shared" si="6"/>
        <v>46.44</v>
      </c>
      <c r="S15" s="19">
        <v>29</v>
      </c>
      <c r="T15" s="20">
        <v>4</v>
      </c>
      <c r="U15" s="62" t="s">
        <v>57</v>
      </c>
      <c r="V15" s="68" t="s">
        <v>70</v>
      </c>
      <c r="W15" s="68" t="s">
        <v>66</v>
      </c>
      <c r="X15" s="68" t="s">
        <v>62</v>
      </c>
      <c r="Y15" s="68"/>
      <c r="Z15" s="68"/>
      <c r="AA15" s="69"/>
    </row>
    <row r="16" spans="1:27" s="61" customFormat="1" ht="13.5" thickBot="1">
      <c r="A16" s="143">
        <v>45672</v>
      </c>
      <c r="B16" s="144" t="s">
        <v>68</v>
      </c>
      <c r="C16" s="111">
        <v>26</v>
      </c>
      <c r="D16" s="110">
        <v>4</v>
      </c>
      <c r="E16" s="114">
        <f>C16*D16</f>
        <v>104</v>
      </c>
      <c r="F16" s="145">
        <v>80</v>
      </c>
      <c r="G16" s="146">
        <f>F16*C16</f>
        <v>2080</v>
      </c>
      <c r="H16" s="110">
        <v>6</v>
      </c>
      <c r="I16" s="114">
        <f t="shared" si="4"/>
        <v>156</v>
      </c>
      <c r="J16" s="110"/>
      <c r="K16" s="114"/>
      <c r="L16" s="112">
        <f>K16*C16</f>
        <v>0</v>
      </c>
      <c r="M16" s="110"/>
      <c r="N16" s="147">
        <v>1</v>
      </c>
      <c r="O16" s="105">
        <f>P16/C16</f>
        <v>79.384615384615387</v>
      </c>
      <c r="P16" s="148">
        <f>344*6</f>
        <v>2064</v>
      </c>
      <c r="Q16" s="108">
        <f t="shared" si="5"/>
        <v>14.333333333333334</v>
      </c>
      <c r="R16" s="107">
        <f t="shared" si="6"/>
        <v>41.28</v>
      </c>
      <c r="S16" s="88">
        <v>26</v>
      </c>
      <c r="T16" s="90">
        <v>4</v>
      </c>
      <c r="U16" s="91" t="s">
        <v>71</v>
      </c>
      <c r="V16" s="92" t="s">
        <v>70</v>
      </c>
      <c r="W16" s="92" t="s">
        <v>60</v>
      </c>
      <c r="X16" s="92" t="s">
        <v>62</v>
      </c>
      <c r="Y16" s="92"/>
      <c r="Z16" s="92"/>
      <c r="AA16" s="93"/>
    </row>
    <row r="17" spans="1:27" s="61" customFormat="1" ht="13.5" thickTop="1">
      <c r="A17" s="159">
        <v>45672</v>
      </c>
      <c r="B17" s="94" t="s">
        <v>63</v>
      </c>
      <c r="C17" s="166">
        <v>26</v>
      </c>
      <c r="D17" s="162">
        <v>4</v>
      </c>
      <c r="E17" s="150">
        <f t="shared" ref="E17" si="7">C17*D17</f>
        <v>104</v>
      </c>
      <c r="F17" s="172">
        <v>80</v>
      </c>
      <c r="G17" s="169">
        <f t="shared" ref="G17" si="8">F17*C17</f>
        <v>2080</v>
      </c>
      <c r="H17" s="162">
        <v>5</v>
      </c>
      <c r="I17" s="150">
        <f t="shared" si="4"/>
        <v>130</v>
      </c>
      <c r="J17" s="95"/>
      <c r="K17" s="150">
        <v>1</v>
      </c>
      <c r="L17" s="152">
        <f t="shared" ref="L17" si="9">K17*C17</f>
        <v>26</v>
      </c>
      <c r="M17" s="95"/>
      <c r="N17" s="154">
        <v>1</v>
      </c>
      <c r="O17" s="196">
        <f>(P17+P18+P19)/S17</f>
        <v>101.07692307692308</v>
      </c>
      <c r="P17" s="96">
        <f>628*2</f>
        <v>1256</v>
      </c>
      <c r="Q17" s="96"/>
      <c r="R17" s="96"/>
      <c r="S17" s="191">
        <v>26</v>
      </c>
      <c r="T17" s="201">
        <v>4</v>
      </c>
      <c r="U17" s="156" t="s">
        <v>57</v>
      </c>
      <c r="V17" s="156" t="s">
        <v>59</v>
      </c>
      <c r="W17" s="156" t="s">
        <v>77</v>
      </c>
      <c r="X17" s="156" t="s">
        <v>67</v>
      </c>
      <c r="Y17" s="156"/>
      <c r="Z17" s="156"/>
      <c r="AA17" s="156"/>
    </row>
    <row r="18" spans="1:27" s="61" customFormat="1">
      <c r="A18" s="161"/>
      <c r="B18" s="98" t="s">
        <v>73</v>
      </c>
      <c r="C18" s="167"/>
      <c r="D18" s="163"/>
      <c r="E18" s="165"/>
      <c r="F18" s="173"/>
      <c r="G18" s="170"/>
      <c r="H18" s="163">
        <v>5</v>
      </c>
      <c r="I18" s="165"/>
      <c r="J18" s="99"/>
      <c r="K18" s="165">
        <v>1</v>
      </c>
      <c r="L18" s="200"/>
      <c r="M18" s="99"/>
      <c r="N18" s="199"/>
      <c r="O18" s="197"/>
      <c r="P18" s="100">
        <f>26*2</f>
        <v>52</v>
      </c>
      <c r="Q18" s="100"/>
      <c r="R18" s="100"/>
      <c r="S18" s="193"/>
      <c r="T18" s="202"/>
      <c r="U18" s="157"/>
      <c r="V18" s="157"/>
      <c r="W18" s="157"/>
      <c r="X18" s="157"/>
      <c r="Y18" s="157"/>
      <c r="Z18" s="157"/>
      <c r="AA18" s="157"/>
    </row>
    <row r="19" spans="1:27" s="61" customFormat="1" ht="13.5" thickBot="1">
      <c r="A19" s="160"/>
      <c r="B19" s="101" t="s">
        <v>72</v>
      </c>
      <c r="C19" s="168"/>
      <c r="D19" s="164"/>
      <c r="E19" s="151"/>
      <c r="F19" s="174"/>
      <c r="G19" s="171"/>
      <c r="H19" s="164">
        <v>5</v>
      </c>
      <c r="I19" s="151"/>
      <c r="J19" s="102"/>
      <c r="K19" s="151">
        <v>1</v>
      </c>
      <c r="L19" s="153"/>
      <c r="M19" s="102"/>
      <c r="N19" s="155"/>
      <c r="O19" s="198"/>
      <c r="P19" s="103">
        <f>440*3</f>
        <v>1320</v>
      </c>
      <c r="Q19" s="103"/>
      <c r="R19" s="103"/>
      <c r="S19" s="192"/>
      <c r="T19" s="203"/>
      <c r="U19" s="158"/>
      <c r="V19" s="158"/>
      <c r="W19" s="158"/>
      <c r="X19" s="158"/>
      <c r="Y19" s="158"/>
      <c r="Z19" s="158"/>
      <c r="AA19" s="158"/>
    </row>
    <row r="20" spans="1:27" s="61" customFormat="1" ht="13.5" thickTop="1">
      <c r="A20" s="64">
        <v>45673</v>
      </c>
      <c r="B20" s="60" t="s">
        <v>68</v>
      </c>
      <c r="C20" s="65">
        <v>26</v>
      </c>
      <c r="D20" s="63">
        <v>4</v>
      </c>
      <c r="E20" s="113">
        <f t="shared" ref="E20:E31" si="10">C20*D20</f>
        <v>104</v>
      </c>
      <c r="F20" s="59">
        <v>80</v>
      </c>
      <c r="G20" s="84">
        <f t="shared" ref="G20:G31" si="11">F20*C20</f>
        <v>2080</v>
      </c>
      <c r="H20" s="66">
        <v>6</v>
      </c>
      <c r="I20" s="113">
        <f t="shared" ref="I20:I31" si="12">+H20*C20</f>
        <v>156</v>
      </c>
      <c r="J20" s="66"/>
      <c r="K20" s="113"/>
      <c r="L20" s="83">
        <f t="shared" ref="L20:L29" si="13">K20*C20</f>
        <v>0</v>
      </c>
      <c r="M20" s="66"/>
      <c r="N20" s="17">
        <v>1</v>
      </c>
      <c r="O20" s="23">
        <f t="shared" ref="O20:O32" si="14">P20/C20</f>
        <v>79.384615384615387</v>
      </c>
      <c r="P20" s="18">
        <f>344*6</f>
        <v>2064</v>
      </c>
      <c r="Q20" s="108">
        <f t="shared" ref="Q20:Q23" si="15">P20/144</f>
        <v>14.333333333333334</v>
      </c>
      <c r="R20" s="107">
        <f t="shared" ref="R20:R23" si="16">P20/50</f>
        <v>41.28</v>
      </c>
      <c r="S20" s="19">
        <v>26</v>
      </c>
      <c r="T20" s="20">
        <v>4</v>
      </c>
      <c r="U20" s="62" t="s">
        <v>69</v>
      </c>
      <c r="V20" s="68" t="s">
        <v>70</v>
      </c>
      <c r="W20" s="68" t="s">
        <v>62</v>
      </c>
      <c r="X20" s="68" t="s">
        <v>59</v>
      </c>
      <c r="Y20" s="68"/>
      <c r="Z20" s="68"/>
      <c r="AA20" s="69"/>
    </row>
    <row r="21" spans="1:27" s="61" customFormat="1">
      <c r="A21" s="64">
        <v>45674</v>
      </c>
      <c r="B21" s="60" t="s">
        <v>68</v>
      </c>
      <c r="C21" s="65">
        <v>15</v>
      </c>
      <c r="D21" s="63">
        <v>4</v>
      </c>
      <c r="E21" s="113">
        <f t="shared" si="10"/>
        <v>60</v>
      </c>
      <c r="F21" s="59">
        <v>80</v>
      </c>
      <c r="G21" s="84">
        <f t="shared" si="11"/>
        <v>1200</v>
      </c>
      <c r="H21" s="66">
        <v>6</v>
      </c>
      <c r="I21" s="113">
        <f t="shared" si="12"/>
        <v>90</v>
      </c>
      <c r="J21" s="66"/>
      <c r="K21" s="113"/>
      <c r="L21" s="83">
        <f t="shared" si="13"/>
        <v>0</v>
      </c>
      <c r="M21" s="66"/>
      <c r="N21" s="17">
        <v>1</v>
      </c>
      <c r="O21" s="23">
        <f t="shared" si="14"/>
        <v>78.8</v>
      </c>
      <c r="P21" s="18">
        <f>197*6</f>
        <v>1182</v>
      </c>
      <c r="Q21" s="108">
        <f t="shared" si="15"/>
        <v>8.2083333333333339</v>
      </c>
      <c r="R21" s="107">
        <f t="shared" si="16"/>
        <v>23.64</v>
      </c>
      <c r="S21" s="19">
        <v>15</v>
      </c>
      <c r="T21" s="20">
        <v>4</v>
      </c>
      <c r="U21" s="62" t="s">
        <v>62</v>
      </c>
      <c r="V21" s="68" t="s">
        <v>70</v>
      </c>
      <c r="W21" s="68" t="s">
        <v>59</v>
      </c>
      <c r="X21" s="68" t="s">
        <v>57</v>
      </c>
      <c r="Y21" s="68"/>
      <c r="Z21" s="68"/>
      <c r="AA21" s="69"/>
    </row>
    <row r="22" spans="1:27" s="61" customFormat="1">
      <c r="A22" s="64">
        <v>45677</v>
      </c>
      <c r="B22" s="60" t="s">
        <v>68</v>
      </c>
      <c r="C22" s="65">
        <v>36</v>
      </c>
      <c r="D22" s="63">
        <v>4</v>
      </c>
      <c r="E22" s="113">
        <f t="shared" si="10"/>
        <v>144</v>
      </c>
      <c r="F22" s="59">
        <v>80</v>
      </c>
      <c r="G22" s="84">
        <f t="shared" si="11"/>
        <v>2880</v>
      </c>
      <c r="H22" s="66">
        <v>6</v>
      </c>
      <c r="I22" s="113">
        <f t="shared" si="12"/>
        <v>216</v>
      </c>
      <c r="J22" s="66"/>
      <c r="K22" s="113"/>
      <c r="L22" s="83">
        <f t="shared" si="13"/>
        <v>0</v>
      </c>
      <c r="M22" s="66"/>
      <c r="N22" s="17">
        <v>1</v>
      </c>
      <c r="O22" s="23">
        <f t="shared" si="14"/>
        <v>76</v>
      </c>
      <c r="P22" s="18">
        <f>456*6</f>
        <v>2736</v>
      </c>
      <c r="Q22" s="108">
        <f t="shared" si="15"/>
        <v>19</v>
      </c>
      <c r="R22" s="107">
        <f t="shared" si="16"/>
        <v>54.72</v>
      </c>
      <c r="S22" s="19">
        <v>36</v>
      </c>
      <c r="T22" s="20">
        <v>4</v>
      </c>
      <c r="U22" s="62" t="s">
        <v>62</v>
      </c>
      <c r="V22" s="68" t="s">
        <v>70</v>
      </c>
      <c r="W22" s="68" t="s">
        <v>71</v>
      </c>
      <c r="X22" s="68" t="s">
        <v>57</v>
      </c>
      <c r="Y22" s="68"/>
      <c r="Z22" s="68"/>
      <c r="AA22" s="69"/>
    </row>
    <row r="23" spans="1:27" s="61" customFormat="1">
      <c r="A23" s="64">
        <v>45678</v>
      </c>
      <c r="B23" s="60" t="s">
        <v>68</v>
      </c>
      <c r="C23" s="65">
        <v>34</v>
      </c>
      <c r="D23" s="63">
        <v>4</v>
      </c>
      <c r="E23" s="113">
        <f t="shared" si="10"/>
        <v>136</v>
      </c>
      <c r="F23" s="59">
        <v>80</v>
      </c>
      <c r="G23" s="84">
        <f t="shared" si="11"/>
        <v>2720</v>
      </c>
      <c r="H23" s="66">
        <v>6</v>
      </c>
      <c r="I23" s="113">
        <f t="shared" si="12"/>
        <v>204</v>
      </c>
      <c r="J23" s="66"/>
      <c r="K23" s="113"/>
      <c r="L23" s="83">
        <f t="shared" si="13"/>
        <v>0</v>
      </c>
      <c r="M23" s="66"/>
      <c r="N23" s="17">
        <v>1</v>
      </c>
      <c r="O23" s="23">
        <f t="shared" si="14"/>
        <v>76.764705882352942</v>
      </c>
      <c r="P23" s="18">
        <f>435*6</f>
        <v>2610</v>
      </c>
      <c r="Q23" s="108">
        <f t="shared" si="15"/>
        <v>18.125</v>
      </c>
      <c r="R23" s="107">
        <f t="shared" si="16"/>
        <v>52.2</v>
      </c>
      <c r="S23" s="19">
        <v>34</v>
      </c>
      <c r="T23" s="20">
        <v>4</v>
      </c>
      <c r="U23" s="62" t="s">
        <v>70</v>
      </c>
      <c r="V23" s="68" t="s">
        <v>78</v>
      </c>
      <c r="W23" s="68" t="s">
        <v>62</v>
      </c>
      <c r="X23" s="68" t="s">
        <v>59</v>
      </c>
      <c r="Y23" s="68"/>
      <c r="Z23" s="68"/>
      <c r="AA23" s="69"/>
    </row>
    <row r="24" spans="1:27" s="61" customFormat="1">
      <c r="A24" s="64">
        <v>45679</v>
      </c>
      <c r="B24" s="60" t="s">
        <v>64</v>
      </c>
      <c r="C24" s="65">
        <v>9</v>
      </c>
      <c r="D24" s="63">
        <v>5.5</v>
      </c>
      <c r="E24" s="113">
        <f t="shared" si="10"/>
        <v>49.5</v>
      </c>
      <c r="F24" s="59"/>
      <c r="G24" s="84">
        <f t="shared" si="11"/>
        <v>0</v>
      </c>
      <c r="H24" s="66"/>
      <c r="I24" s="113">
        <f t="shared" si="12"/>
        <v>0</v>
      </c>
      <c r="J24" s="66"/>
      <c r="K24" s="113">
        <v>5.5</v>
      </c>
      <c r="L24" s="83">
        <f t="shared" si="13"/>
        <v>49.5</v>
      </c>
      <c r="M24" s="66"/>
      <c r="N24" s="17">
        <v>1</v>
      </c>
      <c r="O24" s="23">
        <f t="shared" si="14"/>
        <v>1.2222222222222223</v>
      </c>
      <c r="P24" s="18">
        <v>11</v>
      </c>
      <c r="Q24" s="108"/>
      <c r="R24" s="107"/>
      <c r="S24" s="19">
        <v>9</v>
      </c>
      <c r="T24" s="20">
        <v>3</v>
      </c>
      <c r="U24" s="62" t="s">
        <v>69</v>
      </c>
      <c r="V24" s="68" t="s">
        <v>77</v>
      </c>
      <c r="W24" s="68" t="s">
        <v>79</v>
      </c>
      <c r="X24" s="68"/>
      <c r="Y24" s="68"/>
      <c r="Z24" s="68"/>
      <c r="AA24" s="69"/>
    </row>
    <row r="25" spans="1:27" s="61" customFormat="1">
      <c r="A25" s="64">
        <v>45679</v>
      </c>
      <c r="B25" s="60" t="s">
        <v>68</v>
      </c>
      <c r="C25" s="65">
        <v>23</v>
      </c>
      <c r="D25" s="63">
        <v>4</v>
      </c>
      <c r="E25" s="113">
        <f t="shared" si="10"/>
        <v>92</v>
      </c>
      <c r="F25" s="59">
        <v>80</v>
      </c>
      <c r="G25" s="84">
        <f t="shared" si="11"/>
        <v>1840</v>
      </c>
      <c r="H25" s="66">
        <v>6</v>
      </c>
      <c r="I25" s="113">
        <f t="shared" si="12"/>
        <v>138</v>
      </c>
      <c r="J25" s="66"/>
      <c r="K25" s="113"/>
      <c r="L25" s="83">
        <f t="shared" si="13"/>
        <v>0</v>
      </c>
      <c r="M25" s="66"/>
      <c r="N25" s="17">
        <v>1</v>
      </c>
      <c r="O25" s="23">
        <f t="shared" si="14"/>
        <v>83.217391304347828</v>
      </c>
      <c r="P25" s="18">
        <f>319*6</f>
        <v>1914</v>
      </c>
      <c r="Q25" s="108">
        <f t="shared" ref="Q25:Q26" si="17">P25/144</f>
        <v>13.291666666666666</v>
      </c>
      <c r="R25" s="107">
        <f t="shared" ref="R25:R26" si="18">P25/50</f>
        <v>38.28</v>
      </c>
      <c r="S25" s="19">
        <v>23</v>
      </c>
      <c r="T25" s="20">
        <v>4</v>
      </c>
      <c r="U25" s="62" t="s">
        <v>70</v>
      </c>
      <c r="V25" s="68" t="s">
        <v>62</v>
      </c>
      <c r="W25" s="68" t="s">
        <v>80</v>
      </c>
      <c r="X25" s="68" t="s">
        <v>57</v>
      </c>
      <c r="Y25" s="68"/>
      <c r="Z25" s="68"/>
      <c r="AA25" s="69"/>
    </row>
    <row r="26" spans="1:27" s="61" customFormat="1">
      <c r="A26" s="64">
        <v>45680</v>
      </c>
      <c r="B26" s="60" t="s">
        <v>68</v>
      </c>
      <c r="C26" s="65">
        <v>34</v>
      </c>
      <c r="D26" s="63">
        <v>4</v>
      </c>
      <c r="E26" s="113">
        <f t="shared" si="10"/>
        <v>136</v>
      </c>
      <c r="F26" s="59">
        <v>80</v>
      </c>
      <c r="G26" s="84">
        <f t="shared" si="11"/>
        <v>2720</v>
      </c>
      <c r="H26" s="66">
        <v>6</v>
      </c>
      <c r="I26" s="113">
        <f t="shared" si="12"/>
        <v>204</v>
      </c>
      <c r="J26" s="66"/>
      <c r="K26" s="113"/>
      <c r="L26" s="83">
        <f t="shared" si="13"/>
        <v>0</v>
      </c>
      <c r="M26" s="66"/>
      <c r="N26" s="17">
        <v>1</v>
      </c>
      <c r="O26" s="23">
        <f t="shared" si="14"/>
        <v>82.764705882352942</v>
      </c>
      <c r="P26" s="18">
        <f>469*6</f>
        <v>2814</v>
      </c>
      <c r="Q26" s="108">
        <f t="shared" si="17"/>
        <v>19.541666666666668</v>
      </c>
      <c r="R26" s="107">
        <f t="shared" si="18"/>
        <v>56.28</v>
      </c>
      <c r="S26" s="19">
        <v>34</v>
      </c>
      <c r="T26" s="20">
        <v>4</v>
      </c>
      <c r="U26" s="62" t="s">
        <v>70</v>
      </c>
      <c r="V26" s="68" t="s">
        <v>78</v>
      </c>
      <c r="W26" s="68" t="s">
        <v>57</v>
      </c>
      <c r="X26" s="68" t="s">
        <v>62</v>
      </c>
      <c r="Y26" s="68"/>
      <c r="Z26" s="68"/>
      <c r="AA26" s="69"/>
    </row>
    <row r="27" spans="1:27" s="61" customFormat="1">
      <c r="A27" s="64">
        <v>45681</v>
      </c>
      <c r="B27" s="60" t="s">
        <v>68</v>
      </c>
      <c r="C27" s="65">
        <v>26</v>
      </c>
      <c r="D27" s="63">
        <v>4</v>
      </c>
      <c r="E27" s="113">
        <f t="shared" si="10"/>
        <v>104</v>
      </c>
      <c r="F27" s="59">
        <v>80</v>
      </c>
      <c r="G27" s="84">
        <f t="shared" si="11"/>
        <v>2080</v>
      </c>
      <c r="H27" s="66">
        <v>6</v>
      </c>
      <c r="I27" s="113">
        <f t="shared" si="12"/>
        <v>156</v>
      </c>
      <c r="J27" s="66"/>
      <c r="K27" s="113"/>
      <c r="L27" s="83">
        <f t="shared" si="13"/>
        <v>0</v>
      </c>
      <c r="M27" s="66"/>
      <c r="N27" s="17">
        <v>1</v>
      </c>
      <c r="O27" s="23">
        <f t="shared" si="14"/>
        <v>84</v>
      </c>
      <c r="P27" s="18">
        <f>364*6</f>
        <v>2184</v>
      </c>
      <c r="Q27" s="108">
        <f>P27/144</f>
        <v>15.166666666666666</v>
      </c>
      <c r="R27" s="107">
        <f>P27/50</f>
        <v>43.68</v>
      </c>
      <c r="S27" s="19">
        <v>26</v>
      </c>
      <c r="T27" s="20">
        <v>4</v>
      </c>
      <c r="U27" s="62" t="s">
        <v>70</v>
      </c>
      <c r="V27" s="68" t="s">
        <v>78</v>
      </c>
      <c r="W27" s="68" t="s">
        <v>62</v>
      </c>
      <c r="X27" s="68" t="s">
        <v>60</v>
      </c>
      <c r="Y27" s="68"/>
      <c r="Z27" s="68"/>
      <c r="AA27" s="69"/>
    </row>
    <row r="28" spans="1:27" s="61" customFormat="1">
      <c r="A28" s="64">
        <v>45681</v>
      </c>
      <c r="B28" s="60" t="s">
        <v>81</v>
      </c>
      <c r="C28" s="65">
        <v>1</v>
      </c>
      <c r="D28" s="63">
        <v>4</v>
      </c>
      <c r="E28" s="113">
        <f t="shared" si="10"/>
        <v>4</v>
      </c>
      <c r="F28" s="59"/>
      <c r="G28" s="84">
        <f t="shared" si="11"/>
        <v>0</v>
      </c>
      <c r="H28" s="66"/>
      <c r="I28" s="113">
        <f t="shared" si="12"/>
        <v>0</v>
      </c>
      <c r="J28" s="66"/>
      <c r="K28" s="113">
        <v>4</v>
      </c>
      <c r="L28" s="83">
        <f t="shared" si="13"/>
        <v>4</v>
      </c>
      <c r="M28" s="66"/>
      <c r="N28" s="17">
        <v>1</v>
      </c>
      <c r="O28" s="23">
        <f t="shared" si="14"/>
        <v>0</v>
      </c>
      <c r="P28" s="18"/>
      <c r="Q28" s="18"/>
      <c r="R28" s="18"/>
      <c r="S28" s="19">
        <v>1</v>
      </c>
      <c r="T28" s="20">
        <v>2</v>
      </c>
      <c r="U28" s="62" t="s">
        <v>58</v>
      </c>
      <c r="V28" s="68" t="s">
        <v>59</v>
      </c>
      <c r="W28" s="68"/>
      <c r="X28" s="68"/>
      <c r="Y28" s="68"/>
      <c r="Z28" s="68"/>
      <c r="AA28" s="69"/>
    </row>
    <row r="29" spans="1:27" s="61" customFormat="1">
      <c r="A29" s="64">
        <v>45681</v>
      </c>
      <c r="B29" s="60" t="s">
        <v>61</v>
      </c>
      <c r="C29" s="65">
        <v>1.5</v>
      </c>
      <c r="D29" s="63">
        <v>5</v>
      </c>
      <c r="E29" s="113">
        <f t="shared" si="10"/>
        <v>7.5</v>
      </c>
      <c r="F29" s="59"/>
      <c r="G29" s="84">
        <f t="shared" si="11"/>
        <v>0</v>
      </c>
      <c r="H29" s="66"/>
      <c r="I29" s="113">
        <f t="shared" si="12"/>
        <v>0</v>
      </c>
      <c r="J29" s="66"/>
      <c r="K29" s="113">
        <v>5</v>
      </c>
      <c r="L29" s="83">
        <f t="shared" si="13"/>
        <v>7.5</v>
      </c>
      <c r="M29" s="66"/>
      <c r="N29" s="17">
        <v>1</v>
      </c>
      <c r="O29" s="23">
        <f t="shared" si="14"/>
        <v>0</v>
      </c>
      <c r="P29" s="18"/>
      <c r="Q29" s="18"/>
      <c r="R29" s="18"/>
      <c r="S29" s="19">
        <v>1.5</v>
      </c>
      <c r="T29" s="20">
        <v>2</v>
      </c>
      <c r="U29" s="62" t="s">
        <v>58</v>
      </c>
      <c r="V29" s="68" t="s">
        <v>59</v>
      </c>
      <c r="W29" s="68"/>
      <c r="X29" s="68"/>
      <c r="Y29" s="68"/>
      <c r="Z29" s="68"/>
      <c r="AA29" s="69"/>
    </row>
    <row r="30" spans="1:27" s="61" customFormat="1">
      <c r="A30" s="64">
        <v>45684</v>
      </c>
      <c r="B30" s="60" t="s">
        <v>64</v>
      </c>
      <c r="C30" s="65">
        <v>10</v>
      </c>
      <c r="D30" s="63">
        <v>5.5</v>
      </c>
      <c r="E30" s="113">
        <f t="shared" si="10"/>
        <v>55</v>
      </c>
      <c r="F30" s="59"/>
      <c r="G30" s="84">
        <f t="shared" si="11"/>
        <v>0</v>
      </c>
      <c r="H30" s="66"/>
      <c r="I30" s="113">
        <f t="shared" si="12"/>
        <v>0</v>
      </c>
      <c r="J30" s="66"/>
      <c r="K30" s="113">
        <v>5.5</v>
      </c>
      <c r="L30" s="83"/>
      <c r="M30" s="66"/>
      <c r="N30" s="17">
        <v>1</v>
      </c>
      <c r="O30" s="23">
        <f t="shared" si="14"/>
        <v>1.1000000000000001</v>
      </c>
      <c r="P30" s="18">
        <v>11</v>
      </c>
      <c r="Q30" s="18"/>
      <c r="R30" s="18"/>
      <c r="S30" s="19">
        <v>10</v>
      </c>
      <c r="T30" s="20">
        <v>4</v>
      </c>
      <c r="U30" s="62" t="s">
        <v>70</v>
      </c>
      <c r="V30" s="68" t="s">
        <v>60</v>
      </c>
      <c r="W30" s="68" t="s">
        <v>82</v>
      </c>
      <c r="X30" s="68" t="s">
        <v>83</v>
      </c>
      <c r="Y30" s="68"/>
      <c r="Z30" s="68"/>
      <c r="AA30" s="69"/>
    </row>
    <row r="31" spans="1:27" s="61" customFormat="1">
      <c r="A31" s="64">
        <v>45685</v>
      </c>
      <c r="B31" s="60" t="s">
        <v>68</v>
      </c>
      <c r="C31" s="65">
        <v>26</v>
      </c>
      <c r="D31" s="63">
        <v>4</v>
      </c>
      <c r="E31" s="113">
        <f t="shared" si="10"/>
        <v>104</v>
      </c>
      <c r="F31" s="59">
        <v>80</v>
      </c>
      <c r="G31" s="84">
        <f t="shared" si="11"/>
        <v>2080</v>
      </c>
      <c r="H31" s="66">
        <v>6</v>
      </c>
      <c r="I31" s="113">
        <f t="shared" si="12"/>
        <v>156</v>
      </c>
      <c r="J31" s="66"/>
      <c r="K31" s="113"/>
      <c r="L31" s="83"/>
      <c r="M31" s="66"/>
      <c r="N31" s="17">
        <v>1</v>
      </c>
      <c r="O31" s="23">
        <f t="shared" si="14"/>
        <v>91.84615384615384</v>
      </c>
      <c r="P31" s="18">
        <f>398*6</f>
        <v>2388</v>
      </c>
      <c r="Q31" s="108">
        <f>P31/144</f>
        <v>16.583333333333332</v>
      </c>
      <c r="R31" s="107">
        <f>P31/50</f>
        <v>47.76</v>
      </c>
      <c r="S31" s="19">
        <v>26</v>
      </c>
      <c r="T31" s="20">
        <v>4</v>
      </c>
      <c r="U31" s="62" t="s">
        <v>62</v>
      </c>
      <c r="V31" s="68" t="s">
        <v>59</v>
      </c>
      <c r="W31" s="68" t="s">
        <v>78</v>
      </c>
      <c r="X31" s="68" t="s">
        <v>70</v>
      </c>
      <c r="Y31" s="68"/>
      <c r="Z31" s="68"/>
      <c r="AA31" s="69"/>
    </row>
    <row r="32" spans="1:27" s="61" customFormat="1">
      <c r="A32" s="64">
        <v>45684</v>
      </c>
      <c r="B32" s="60" t="s">
        <v>68</v>
      </c>
      <c r="C32" s="65">
        <v>34</v>
      </c>
      <c r="D32" s="63">
        <v>4</v>
      </c>
      <c r="E32" s="113">
        <f t="shared" ref="E32:E47" si="19">C32*D32</f>
        <v>136</v>
      </c>
      <c r="F32" s="59">
        <v>80</v>
      </c>
      <c r="G32" s="84">
        <f t="shared" ref="G32:G44" si="20">F32*C32</f>
        <v>2720</v>
      </c>
      <c r="H32" s="66">
        <v>6</v>
      </c>
      <c r="I32" s="113">
        <f t="shared" ref="I32:I38" si="21">+H32*C32</f>
        <v>204</v>
      </c>
      <c r="J32" s="66"/>
      <c r="K32" s="113"/>
      <c r="L32" s="83">
        <f t="shared" ref="L32:L55" si="22">K32*C32</f>
        <v>0</v>
      </c>
      <c r="M32" s="66"/>
      <c r="N32" s="17">
        <v>1</v>
      </c>
      <c r="O32" s="23">
        <f t="shared" si="14"/>
        <v>86.647058823529406</v>
      </c>
      <c r="P32" s="18">
        <f>491*6</f>
        <v>2946</v>
      </c>
      <c r="Q32" s="108">
        <f>P32/144</f>
        <v>20.458333333333332</v>
      </c>
      <c r="R32" s="107">
        <f>P32/50</f>
        <v>58.92</v>
      </c>
      <c r="S32" s="19">
        <v>34</v>
      </c>
      <c r="T32" s="20">
        <v>4</v>
      </c>
      <c r="U32" s="62" t="s">
        <v>57</v>
      </c>
      <c r="V32" s="68" t="s">
        <v>78</v>
      </c>
      <c r="W32" s="68" t="s">
        <v>59</v>
      </c>
      <c r="X32" s="68" t="s">
        <v>62</v>
      </c>
      <c r="Y32" s="68"/>
      <c r="Z32" s="68"/>
      <c r="AA32" s="69"/>
    </row>
    <row r="33" spans="1:27" s="61" customFormat="1">
      <c r="A33" s="70">
        <v>45685</v>
      </c>
      <c r="B33" s="60" t="s">
        <v>64</v>
      </c>
      <c r="C33" s="22">
        <v>8</v>
      </c>
      <c r="D33" s="1">
        <v>5.5</v>
      </c>
      <c r="E33" s="113">
        <f t="shared" si="19"/>
        <v>44</v>
      </c>
      <c r="F33" s="59"/>
      <c r="G33" s="84">
        <f t="shared" si="20"/>
        <v>0</v>
      </c>
      <c r="H33" s="73"/>
      <c r="I33" s="113">
        <f t="shared" si="21"/>
        <v>0</v>
      </c>
      <c r="J33" s="73"/>
      <c r="K33" s="120">
        <v>5.5</v>
      </c>
      <c r="L33" s="83">
        <f t="shared" si="22"/>
        <v>44</v>
      </c>
      <c r="M33" s="73"/>
      <c r="N33" s="17">
        <v>1</v>
      </c>
      <c r="O33" s="23">
        <f t="shared" ref="O33:O52" si="23">P33/C33</f>
        <v>1.25</v>
      </c>
      <c r="P33" s="18">
        <v>10</v>
      </c>
      <c r="Q33" s="18"/>
      <c r="R33" s="18"/>
      <c r="S33" s="19">
        <v>8</v>
      </c>
      <c r="T33" s="20">
        <v>4</v>
      </c>
      <c r="U33" s="1" t="s">
        <v>60</v>
      </c>
      <c r="V33" s="73" t="s">
        <v>84</v>
      </c>
      <c r="W33" s="73" t="s">
        <v>85</v>
      </c>
      <c r="X33" s="73" t="s">
        <v>86</v>
      </c>
      <c r="Y33" s="73"/>
      <c r="Z33" s="73"/>
      <c r="AA33" s="80"/>
    </row>
    <row r="34" spans="1:27" s="61" customFormat="1">
      <c r="A34" s="70">
        <v>46020</v>
      </c>
      <c r="B34" s="60" t="s">
        <v>68</v>
      </c>
      <c r="C34" s="22">
        <v>34</v>
      </c>
      <c r="D34" s="1">
        <v>4</v>
      </c>
      <c r="E34" s="113">
        <f t="shared" si="19"/>
        <v>136</v>
      </c>
      <c r="F34" s="59">
        <v>80</v>
      </c>
      <c r="G34" s="84">
        <f t="shared" si="20"/>
        <v>2720</v>
      </c>
      <c r="H34" s="73">
        <v>6</v>
      </c>
      <c r="I34" s="113">
        <f t="shared" si="21"/>
        <v>204</v>
      </c>
      <c r="J34" s="73"/>
      <c r="K34" s="120"/>
      <c r="L34" s="83">
        <f t="shared" si="22"/>
        <v>0</v>
      </c>
      <c r="M34" s="73"/>
      <c r="N34" s="17">
        <v>1</v>
      </c>
      <c r="O34" s="23">
        <f t="shared" si="23"/>
        <v>85.058823529411768</v>
      </c>
      <c r="P34" s="18">
        <f>482*6</f>
        <v>2892</v>
      </c>
      <c r="Q34" s="108"/>
      <c r="R34" s="107">
        <f>P34/50</f>
        <v>57.84</v>
      </c>
      <c r="S34" s="19">
        <v>34</v>
      </c>
      <c r="T34" s="20">
        <v>4</v>
      </c>
      <c r="U34" s="1" t="s">
        <v>78</v>
      </c>
      <c r="V34" s="73" t="s">
        <v>59</v>
      </c>
      <c r="W34" s="73" t="s">
        <v>87</v>
      </c>
      <c r="X34" s="73" t="s">
        <v>70</v>
      </c>
      <c r="Y34" s="73"/>
      <c r="Z34" s="73"/>
      <c r="AA34" s="80"/>
    </row>
    <row r="35" spans="1:27" s="61" customFormat="1">
      <c r="A35" s="70">
        <v>46021</v>
      </c>
      <c r="B35" s="60" t="s">
        <v>68</v>
      </c>
      <c r="C35" s="22">
        <v>46.5</v>
      </c>
      <c r="D35" s="1">
        <v>4</v>
      </c>
      <c r="E35" s="113">
        <f t="shared" si="19"/>
        <v>186</v>
      </c>
      <c r="F35" s="59">
        <v>80</v>
      </c>
      <c r="G35" s="84">
        <f t="shared" si="20"/>
        <v>3720</v>
      </c>
      <c r="H35" s="73">
        <v>6</v>
      </c>
      <c r="I35" s="113">
        <f t="shared" si="21"/>
        <v>279</v>
      </c>
      <c r="J35" s="73"/>
      <c r="K35" s="120"/>
      <c r="L35" s="83">
        <f t="shared" si="22"/>
        <v>0</v>
      </c>
      <c r="M35" s="73"/>
      <c r="N35" s="17">
        <v>1</v>
      </c>
      <c r="O35" s="23">
        <f t="shared" si="23"/>
        <v>81.290322580645167</v>
      </c>
      <c r="P35" s="18">
        <f>630*6</f>
        <v>3780</v>
      </c>
      <c r="Q35" s="108"/>
      <c r="R35" s="107">
        <f>P35/50</f>
        <v>75.599999999999994</v>
      </c>
      <c r="S35" s="19">
        <v>46.5</v>
      </c>
      <c r="T35" s="20">
        <v>5</v>
      </c>
      <c r="U35" s="1" t="s">
        <v>62</v>
      </c>
      <c r="V35" s="73" t="s">
        <v>88</v>
      </c>
      <c r="W35" s="73" t="s">
        <v>59</v>
      </c>
      <c r="X35" s="73" t="s">
        <v>57</v>
      </c>
      <c r="Y35" s="73" t="s">
        <v>69</v>
      </c>
      <c r="Z35" s="73"/>
      <c r="AA35" s="80"/>
    </row>
    <row r="36" spans="1:27" s="61" customFormat="1">
      <c r="A36" s="70">
        <v>46022</v>
      </c>
      <c r="B36" s="60" t="s">
        <v>89</v>
      </c>
      <c r="C36" s="22">
        <v>4.5</v>
      </c>
      <c r="D36" s="1">
        <v>4</v>
      </c>
      <c r="E36" s="113">
        <f t="shared" si="19"/>
        <v>18</v>
      </c>
      <c r="F36" s="59">
        <v>40</v>
      </c>
      <c r="G36" s="84">
        <f t="shared" si="20"/>
        <v>180</v>
      </c>
      <c r="H36" s="73">
        <v>8</v>
      </c>
      <c r="I36" s="113">
        <f t="shared" si="21"/>
        <v>36</v>
      </c>
      <c r="J36" s="73"/>
      <c r="K36" s="120"/>
      <c r="L36" s="83">
        <f t="shared" si="22"/>
        <v>0</v>
      </c>
      <c r="M36" s="73"/>
      <c r="N36" s="17">
        <v>0.5</v>
      </c>
      <c r="O36" s="23">
        <f t="shared" si="23"/>
        <v>102</v>
      </c>
      <c r="P36" s="18">
        <f>153*3</f>
        <v>459</v>
      </c>
      <c r="Q36" s="108">
        <f>P36/144</f>
        <v>3.1875</v>
      </c>
      <c r="R36" s="107">
        <f>0.39*0.19*114</f>
        <v>8.4474</v>
      </c>
      <c r="S36" s="19">
        <v>9</v>
      </c>
      <c r="T36" s="20">
        <v>5</v>
      </c>
      <c r="U36" s="1" t="s">
        <v>62</v>
      </c>
      <c r="V36" s="73" t="s">
        <v>60</v>
      </c>
      <c r="W36" s="73" t="s">
        <v>70</v>
      </c>
      <c r="X36" s="73" t="s">
        <v>77</v>
      </c>
      <c r="Y36" s="73" t="s">
        <v>57</v>
      </c>
      <c r="Z36" s="73"/>
      <c r="AA36" s="80"/>
    </row>
    <row r="37" spans="1:27" s="61" customFormat="1">
      <c r="A37" s="70"/>
      <c r="B37" s="60"/>
      <c r="C37" s="22"/>
      <c r="D37" s="1"/>
      <c r="E37" s="113">
        <f t="shared" si="19"/>
        <v>0</v>
      </c>
      <c r="F37" s="59"/>
      <c r="G37" s="84">
        <f t="shared" si="20"/>
        <v>0</v>
      </c>
      <c r="H37" s="73"/>
      <c r="I37" s="113">
        <f t="shared" si="21"/>
        <v>0</v>
      </c>
      <c r="J37" s="73"/>
      <c r="K37" s="120"/>
      <c r="L37" s="83">
        <f t="shared" si="22"/>
        <v>0</v>
      </c>
      <c r="M37" s="73"/>
      <c r="N37" s="17"/>
      <c r="O37" s="23" t="e">
        <f t="shared" si="23"/>
        <v>#DIV/0!</v>
      </c>
      <c r="P37" s="18"/>
      <c r="Q37" s="18"/>
      <c r="R37" s="18"/>
      <c r="S37" s="19"/>
      <c r="T37" s="20"/>
      <c r="U37" s="1"/>
      <c r="V37" s="73"/>
      <c r="W37" s="73"/>
      <c r="X37" s="73"/>
      <c r="Y37" s="73"/>
      <c r="Z37" s="73"/>
      <c r="AA37" s="80"/>
    </row>
    <row r="38" spans="1:27" s="61" customFormat="1">
      <c r="A38" s="70"/>
      <c r="B38" s="60"/>
      <c r="C38" s="22"/>
      <c r="D38" s="1"/>
      <c r="E38" s="113">
        <f t="shared" si="19"/>
        <v>0</v>
      </c>
      <c r="F38" s="59"/>
      <c r="G38" s="84">
        <f t="shared" si="20"/>
        <v>0</v>
      </c>
      <c r="H38" s="73"/>
      <c r="I38" s="113">
        <f t="shared" si="21"/>
        <v>0</v>
      </c>
      <c r="J38" s="73"/>
      <c r="K38" s="120"/>
      <c r="L38" s="83">
        <f t="shared" si="22"/>
        <v>0</v>
      </c>
      <c r="M38" s="73"/>
      <c r="N38" s="17"/>
      <c r="O38" s="23" t="e">
        <f t="shared" si="23"/>
        <v>#DIV/0!</v>
      </c>
      <c r="P38" s="18"/>
      <c r="Q38" s="18"/>
      <c r="R38" s="18"/>
      <c r="S38" s="19"/>
      <c r="T38" s="20"/>
      <c r="U38" s="1"/>
      <c r="V38" s="73"/>
      <c r="W38" s="73"/>
      <c r="X38" s="73"/>
      <c r="Y38" s="73"/>
      <c r="Z38" s="73"/>
      <c r="AA38" s="80"/>
    </row>
    <row r="39" spans="1:27" s="61" customFormat="1">
      <c r="A39" s="70"/>
      <c r="B39" s="60"/>
      <c r="C39" s="22"/>
      <c r="D39" s="1"/>
      <c r="E39" s="113">
        <f t="shared" si="19"/>
        <v>0</v>
      </c>
      <c r="F39" s="59"/>
      <c r="G39" s="84">
        <f t="shared" si="20"/>
        <v>0</v>
      </c>
      <c r="H39" s="73"/>
      <c r="I39" s="113"/>
      <c r="J39" s="73"/>
      <c r="K39" s="120"/>
      <c r="L39" s="83">
        <f t="shared" si="22"/>
        <v>0</v>
      </c>
      <c r="M39" s="73"/>
      <c r="N39" s="17"/>
      <c r="O39" s="23" t="e">
        <f t="shared" si="23"/>
        <v>#DIV/0!</v>
      </c>
      <c r="P39" s="18"/>
      <c r="Q39" s="18"/>
      <c r="R39" s="18"/>
      <c r="S39" s="19"/>
      <c r="T39" s="20"/>
      <c r="U39" s="1"/>
      <c r="V39" s="73"/>
      <c r="W39" s="73"/>
      <c r="X39" s="73"/>
      <c r="Y39" s="73"/>
      <c r="Z39" s="73"/>
      <c r="AA39" s="80"/>
    </row>
    <row r="40" spans="1:27" s="61" customFormat="1">
      <c r="A40" s="64"/>
      <c r="B40" s="60"/>
      <c r="C40" s="65"/>
      <c r="D40" s="63"/>
      <c r="E40" s="113">
        <f t="shared" si="19"/>
        <v>0</v>
      </c>
      <c r="F40" s="59"/>
      <c r="G40" s="84">
        <f t="shared" si="20"/>
        <v>0</v>
      </c>
      <c r="H40" s="66"/>
      <c r="I40" s="113">
        <f>+H40*C40</f>
        <v>0</v>
      </c>
      <c r="J40" s="66"/>
      <c r="K40" s="113"/>
      <c r="L40" s="83">
        <f t="shared" si="22"/>
        <v>0</v>
      </c>
      <c r="M40" s="66"/>
      <c r="N40" s="17"/>
      <c r="O40" s="23" t="e">
        <f t="shared" si="23"/>
        <v>#DIV/0!</v>
      </c>
      <c r="P40" s="18"/>
      <c r="Q40" s="18"/>
      <c r="R40" s="18"/>
      <c r="S40" s="19"/>
      <c r="T40" s="20"/>
      <c r="U40" s="62"/>
      <c r="V40" s="68"/>
      <c r="W40" s="68"/>
      <c r="X40" s="68"/>
      <c r="Y40" s="68"/>
      <c r="Z40" s="68"/>
      <c r="AA40" s="69"/>
    </row>
    <row r="41" spans="1:27" s="61" customFormat="1">
      <c r="A41" s="64"/>
      <c r="B41" s="60"/>
      <c r="C41" s="65"/>
      <c r="D41" s="63"/>
      <c r="E41" s="113">
        <f t="shared" si="19"/>
        <v>0</v>
      </c>
      <c r="F41" s="59"/>
      <c r="G41" s="84">
        <f t="shared" si="20"/>
        <v>0</v>
      </c>
      <c r="H41" s="66"/>
      <c r="I41" s="113">
        <f>+H41*C41</f>
        <v>0</v>
      </c>
      <c r="J41" s="66"/>
      <c r="K41" s="113"/>
      <c r="L41" s="83">
        <f t="shared" si="22"/>
        <v>0</v>
      </c>
      <c r="M41" s="66"/>
      <c r="N41" s="17"/>
      <c r="O41" s="23" t="e">
        <f t="shared" si="23"/>
        <v>#DIV/0!</v>
      </c>
      <c r="P41" s="18"/>
      <c r="Q41" s="18"/>
      <c r="R41" s="18"/>
      <c r="S41" s="19"/>
      <c r="T41" s="20"/>
      <c r="U41" s="62"/>
      <c r="V41" s="68"/>
      <c r="W41" s="68"/>
      <c r="X41" s="68"/>
      <c r="Y41" s="68"/>
      <c r="Z41" s="68"/>
      <c r="AA41" s="69"/>
    </row>
    <row r="42" spans="1:27" s="61" customFormat="1">
      <c r="A42" s="64"/>
      <c r="B42" s="60"/>
      <c r="C42" s="65"/>
      <c r="D42" s="63"/>
      <c r="E42" s="113">
        <f t="shared" si="19"/>
        <v>0</v>
      </c>
      <c r="F42" s="59"/>
      <c r="G42" s="84">
        <f t="shared" si="20"/>
        <v>0</v>
      </c>
      <c r="H42" s="66"/>
      <c r="I42" s="113">
        <f>+H42*C42</f>
        <v>0</v>
      </c>
      <c r="J42" s="66"/>
      <c r="K42" s="113"/>
      <c r="L42" s="83">
        <f t="shared" si="22"/>
        <v>0</v>
      </c>
      <c r="M42" s="66"/>
      <c r="N42" s="17"/>
      <c r="O42" s="23" t="e">
        <f t="shared" si="23"/>
        <v>#DIV/0!</v>
      </c>
      <c r="P42" s="18"/>
      <c r="Q42" s="18"/>
      <c r="R42" s="18"/>
      <c r="S42" s="19"/>
      <c r="T42" s="20"/>
      <c r="U42" s="62"/>
      <c r="V42" s="68"/>
      <c r="W42" s="68"/>
      <c r="X42" s="68"/>
      <c r="Y42" s="68"/>
      <c r="Z42" s="68"/>
      <c r="AA42" s="69"/>
    </row>
    <row r="43" spans="1:27" s="61" customFormat="1">
      <c r="A43" s="64"/>
      <c r="B43" s="60"/>
      <c r="C43" s="65"/>
      <c r="D43" s="63"/>
      <c r="E43" s="113">
        <f t="shared" si="19"/>
        <v>0</v>
      </c>
      <c r="F43" s="59"/>
      <c r="G43" s="84">
        <f t="shared" si="20"/>
        <v>0</v>
      </c>
      <c r="H43" s="66"/>
      <c r="I43" s="113">
        <f>+H43*C43</f>
        <v>0</v>
      </c>
      <c r="J43" s="66"/>
      <c r="K43" s="113"/>
      <c r="L43" s="83">
        <f t="shared" si="22"/>
        <v>0</v>
      </c>
      <c r="M43" s="66"/>
      <c r="N43" s="17"/>
      <c r="O43" s="23" t="e">
        <f t="shared" si="23"/>
        <v>#DIV/0!</v>
      </c>
      <c r="P43" s="18"/>
      <c r="Q43" s="18"/>
      <c r="R43" s="18"/>
      <c r="S43" s="19"/>
      <c r="T43" s="20"/>
      <c r="U43" s="62"/>
      <c r="V43" s="68"/>
      <c r="W43" s="68"/>
      <c r="X43" s="68"/>
      <c r="Y43" s="68"/>
      <c r="Z43" s="68"/>
      <c r="AA43" s="69"/>
    </row>
    <row r="44" spans="1:27" s="61" customFormat="1">
      <c r="A44" s="64"/>
      <c r="B44" s="60"/>
      <c r="C44" s="65"/>
      <c r="D44" s="63"/>
      <c r="E44" s="113">
        <f t="shared" si="19"/>
        <v>0</v>
      </c>
      <c r="F44" s="59"/>
      <c r="G44" s="84">
        <f t="shared" si="20"/>
        <v>0</v>
      </c>
      <c r="H44" s="66"/>
      <c r="I44" s="113">
        <f>+H44*C44</f>
        <v>0</v>
      </c>
      <c r="J44" s="66"/>
      <c r="K44" s="113"/>
      <c r="L44" s="83">
        <f t="shared" si="22"/>
        <v>0</v>
      </c>
      <c r="M44" s="66"/>
      <c r="N44" s="17"/>
      <c r="O44" s="23" t="e">
        <f t="shared" si="23"/>
        <v>#DIV/0!</v>
      </c>
      <c r="P44" s="18"/>
      <c r="Q44" s="18"/>
      <c r="R44" s="18"/>
      <c r="S44" s="19"/>
      <c r="T44" s="20"/>
      <c r="U44" s="62"/>
      <c r="V44" s="68"/>
      <c r="W44" s="68"/>
      <c r="X44" s="68"/>
      <c r="Y44" s="68"/>
      <c r="Z44" s="68"/>
      <c r="AA44" s="69"/>
    </row>
    <row r="45" spans="1:27" s="61" customFormat="1">
      <c r="A45" s="64"/>
      <c r="B45" s="60"/>
      <c r="C45" s="65"/>
      <c r="D45" s="63"/>
      <c r="E45" s="113">
        <f t="shared" si="19"/>
        <v>0</v>
      </c>
      <c r="F45" s="59"/>
      <c r="G45" s="59"/>
      <c r="H45" s="66"/>
      <c r="I45" s="113"/>
      <c r="J45" s="66"/>
      <c r="K45" s="113"/>
      <c r="L45" s="83">
        <f t="shared" ref="L45:L75" si="24">K45*C45</f>
        <v>0</v>
      </c>
      <c r="M45" s="66"/>
      <c r="N45" s="17"/>
      <c r="O45" s="23" t="e">
        <f t="shared" si="23"/>
        <v>#DIV/0!</v>
      </c>
      <c r="P45" s="18"/>
      <c r="Q45" s="18"/>
      <c r="R45" s="18"/>
      <c r="S45" s="19"/>
      <c r="T45" s="20"/>
      <c r="U45" s="62"/>
      <c r="V45" s="68"/>
      <c r="W45" s="68"/>
      <c r="X45" s="68"/>
      <c r="Y45" s="68"/>
      <c r="Z45" s="68"/>
      <c r="AA45" s="69"/>
    </row>
    <row r="46" spans="1:27" s="61" customFormat="1">
      <c r="A46" s="64"/>
      <c r="B46" s="60"/>
      <c r="C46" s="65"/>
      <c r="D46" s="63"/>
      <c r="E46" s="113">
        <f t="shared" si="19"/>
        <v>0</v>
      </c>
      <c r="F46" s="59"/>
      <c r="G46" s="84">
        <f>F46*C46</f>
        <v>0</v>
      </c>
      <c r="H46" s="66"/>
      <c r="I46" s="113">
        <f>+H46*C46</f>
        <v>0</v>
      </c>
      <c r="J46" s="66"/>
      <c r="K46" s="113"/>
      <c r="L46" s="83">
        <f t="shared" si="22"/>
        <v>0</v>
      </c>
      <c r="M46" s="66"/>
      <c r="N46" s="17"/>
      <c r="O46" s="23" t="e">
        <f t="shared" si="23"/>
        <v>#DIV/0!</v>
      </c>
      <c r="P46" s="18"/>
      <c r="Q46" s="18"/>
      <c r="R46" s="18"/>
      <c r="S46" s="19"/>
      <c r="T46" s="20"/>
      <c r="U46" s="62"/>
      <c r="V46" s="68"/>
      <c r="W46" s="68"/>
      <c r="X46" s="68"/>
      <c r="Y46" s="68"/>
      <c r="Z46" s="68"/>
      <c r="AA46" s="69"/>
    </row>
    <row r="47" spans="1:27" s="61" customFormat="1">
      <c r="A47" s="64"/>
      <c r="B47" s="60"/>
      <c r="C47" s="65"/>
      <c r="D47" s="63"/>
      <c r="E47" s="113">
        <f t="shared" si="19"/>
        <v>0</v>
      </c>
      <c r="F47" s="59"/>
      <c r="G47" s="84">
        <f>F47*C47</f>
        <v>0</v>
      </c>
      <c r="H47" s="66"/>
      <c r="I47" s="113">
        <f>+H47*C47</f>
        <v>0</v>
      </c>
      <c r="J47" s="66"/>
      <c r="K47" s="113"/>
      <c r="L47" s="83">
        <f t="shared" si="22"/>
        <v>0</v>
      </c>
      <c r="M47" s="66"/>
      <c r="N47" s="17"/>
      <c r="O47" s="23" t="e">
        <f t="shared" si="23"/>
        <v>#DIV/0!</v>
      </c>
      <c r="P47" s="18"/>
      <c r="Q47" s="18"/>
      <c r="R47" s="18"/>
      <c r="S47" s="19"/>
      <c r="T47" s="20"/>
      <c r="U47" s="62"/>
      <c r="V47" s="68"/>
      <c r="W47" s="68"/>
      <c r="X47" s="68"/>
      <c r="Y47" s="68"/>
      <c r="Z47" s="68"/>
      <c r="AA47" s="69"/>
    </row>
    <row r="48" spans="1:27" s="61" customFormat="1">
      <c r="A48" s="64"/>
      <c r="B48" s="60"/>
      <c r="C48" s="65"/>
      <c r="D48" s="63"/>
      <c r="E48" s="113"/>
      <c r="F48" s="59"/>
      <c r="G48" s="59"/>
      <c r="H48" s="66"/>
      <c r="I48" s="113"/>
      <c r="J48" s="66"/>
      <c r="K48" s="113"/>
      <c r="L48" s="83">
        <f t="shared" si="24"/>
        <v>0</v>
      </c>
      <c r="M48" s="66"/>
      <c r="N48" s="17"/>
      <c r="O48" s="23" t="e">
        <f t="shared" si="23"/>
        <v>#DIV/0!</v>
      </c>
      <c r="P48" s="18"/>
      <c r="Q48" s="18"/>
      <c r="R48" s="18"/>
      <c r="S48" s="19"/>
      <c r="T48" s="20"/>
      <c r="U48" s="62"/>
      <c r="V48" s="68"/>
      <c r="W48" s="68"/>
      <c r="X48" s="68"/>
      <c r="Y48" s="68"/>
      <c r="Z48" s="68"/>
      <c r="AA48" s="69"/>
    </row>
    <row r="49" spans="1:27" s="61" customFormat="1">
      <c r="A49" s="64"/>
      <c r="B49" s="60"/>
      <c r="C49" s="65"/>
      <c r="D49" s="63"/>
      <c r="E49" s="113">
        <f t="shared" ref="E49:E56" si="25">C49*D49</f>
        <v>0</v>
      </c>
      <c r="F49" s="59"/>
      <c r="G49" s="84">
        <f t="shared" ref="G49:G56" si="26">F49*C49</f>
        <v>0</v>
      </c>
      <c r="H49" s="66"/>
      <c r="I49" s="113">
        <f t="shared" ref="I49:I56" si="27">+H49*C49</f>
        <v>0</v>
      </c>
      <c r="J49" s="66"/>
      <c r="K49" s="113"/>
      <c r="L49" s="83">
        <f t="shared" si="22"/>
        <v>0</v>
      </c>
      <c r="M49" s="66"/>
      <c r="N49" s="17"/>
      <c r="O49" s="23" t="e">
        <f t="shared" si="23"/>
        <v>#DIV/0!</v>
      </c>
      <c r="P49" s="18"/>
      <c r="Q49" s="18"/>
      <c r="R49" s="18"/>
      <c r="S49" s="19"/>
      <c r="T49" s="20"/>
      <c r="U49" s="62"/>
      <c r="V49" s="68"/>
      <c r="W49" s="68"/>
      <c r="X49" s="68"/>
      <c r="Y49" s="68"/>
      <c r="Z49" s="68"/>
      <c r="AA49" s="69"/>
    </row>
    <row r="50" spans="1:27" s="61" customFormat="1">
      <c r="A50" s="64"/>
      <c r="B50" s="60"/>
      <c r="C50" s="65"/>
      <c r="D50" s="63"/>
      <c r="E50" s="113">
        <f t="shared" si="25"/>
        <v>0</v>
      </c>
      <c r="F50" s="59"/>
      <c r="G50" s="84">
        <f t="shared" si="26"/>
        <v>0</v>
      </c>
      <c r="H50" s="66"/>
      <c r="I50" s="113">
        <f t="shared" si="27"/>
        <v>0</v>
      </c>
      <c r="J50" s="66"/>
      <c r="K50" s="113"/>
      <c r="L50" s="83">
        <f t="shared" si="22"/>
        <v>0</v>
      </c>
      <c r="M50" s="66"/>
      <c r="N50" s="17"/>
      <c r="O50" s="23" t="e">
        <f t="shared" si="23"/>
        <v>#DIV/0!</v>
      </c>
      <c r="P50" s="18"/>
      <c r="Q50" s="18"/>
      <c r="R50" s="18"/>
      <c r="S50" s="19"/>
      <c r="T50" s="20"/>
      <c r="U50" s="62"/>
      <c r="V50" s="68"/>
      <c r="W50" s="68"/>
      <c r="X50" s="68"/>
      <c r="Y50" s="68"/>
      <c r="Z50" s="68"/>
      <c r="AA50" s="69"/>
    </row>
    <row r="51" spans="1:27" s="61" customFormat="1">
      <c r="A51" s="64"/>
      <c r="B51" s="60"/>
      <c r="C51" s="65"/>
      <c r="D51" s="63"/>
      <c r="E51" s="113">
        <f t="shared" si="25"/>
        <v>0</v>
      </c>
      <c r="F51" s="59"/>
      <c r="G51" s="84">
        <f t="shared" si="26"/>
        <v>0</v>
      </c>
      <c r="H51" s="66"/>
      <c r="I51" s="113">
        <f t="shared" si="27"/>
        <v>0</v>
      </c>
      <c r="J51" s="66"/>
      <c r="K51" s="113"/>
      <c r="L51" s="83">
        <f t="shared" si="22"/>
        <v>0</v>
      </c>
      <c r="M51" s="66"/>
      <c r="N51" s="17"/>
      <c r="O51" s="23" t="e">
        <f t="shared" si="23"/>
        <v>#DIV/0!</v>
      </c>
      <c r="P51" s="18"/>
      <c r="Q51" s="18"/>
      <c r="R51" s="18"/>
      <c r="S51" s="19"/>
      <c r="T51" s="20"/>
      <c r="U51" s="62"/>
      <c r="V51" s="68"/>
      <c r="W51" s="68"/>
      <c r="X51" s="68"/>
      <c r="Y51" s="68"/>
      <c r="Z51" s="68"/>
      <c r="AA51" s="69"/>
    </row>
    <row r="52" spans="1:27" s="61" customFormat="1">
      <c r="A52" s="64"/>
      <c r="B52" s="60"/>
      <c r="C52" s="65"/>
      <c r="D52" s="63"/>
      <c r="E52" s="113">
        <f t="shared" si="25"/>
        <v>0</v>
      </c>
      <c r="F52" s="59"/>
      <c r="G52" s="84">
        <f t="shared" si="26"/>
        <v>0</v>
      </c>
      <c r="H52" s="66"/>
      <c r="I52" s="113">
        <f t="shared" si="27"/>
        <v>0</v>
      </c>
      <c r="J52" s="66"/>
      <c r="K52" s="113"/>
      <c r="L52" s="83">
        <f t="shared" si="22"/>
        <v>0</v>
      </c>
      <c r="M52" s="66"/>
      <c r="N52" s="17"/>
      <c r="O52" s="23" t="e">
        <f t="shared" si="23"/>
        <v>#DIV/0!</v>
      </c>
      <c r="P52" s="18"/>
      <c r="Q52" s="18"/>
      <c r="R52" s="18"/>
      <c r="S52" s="19"/>
      <c r="T52" s="20"/>
      <c r="U52" s="62"/>
      <c r="V52" s="68"/>
      <c r="W52" s="68"/>
      <c r="X52" s="68"/>
      <c r="Y52" s="68"/>
      <c r="Z52" s="68"/>
      <c r="AA52" s="69"/>
    </row>
    <row r="53" spans="1:27" s="61" customFormat="1">
      <c r="A53" s="64"/>
      <c r="B53" s="60"/>
      <c r="C53" s="65"/>
      <c r="D53" s="63"/>
      <c r="E53" s="113">
        <f t="shared" si="25"/>
        <v>0</v>
      </c>
      <c r="F53" s="59"/>
      <c r="G53" s="84">
        <f t="shared" si="26"/>
        <v>0</v>
      </c>
      <c r="H53" s="66"/>
      <c r="I53" s="113">
        <f t="shared" si="27"/>
        <v>0</v>
      </c>
      <c r="J53" s="66"/>
      <c r="K53" s="113"/>
      <c r="L53" s="83">
        <f t="shared" si="22"/>
        <v>0</v>
      </c>
      <c r="M53" s="66"/>
      <c r="N53" s="17"/>
      <c r="O53" s="23" t="e">
        <f t="shared" ref="O53" si="28">P53/C53</f>
        <v>#DIV/0!</v>
      </c>
      <c r="P53" s="18"/>
      <c r="Q53" s="18"/>
      <c r="R53" s="18"/>
      <c r="S53" s="19"/>
      <c r="T53" s="20"/>
      <c r="U53" s="62"/>
      <c r="V53" s="68"/>
      <c r="W53" s="68"/>
      <c r="X53" s="68"/>
      <c r="Y53" s="68"/>
      <c r="Z53" s="68"/>
      <c r="AA53" s="69"/>
    </row>
    <row r="54" spans="1:27" s="61" customFormat="1">
      <c r="A54" s="64"/>
      <c r="B54" s="60"/>
      <c r="C54" s="65"/>
      <c r="D54" s="63"/>
      <c r="E54" s="113">
        <f t="shared" si="25"/>
        <v>0</v>
      </c>
      <c r="F54" s="59"/>
      <c r="G54" s="84">
        <f t="shared" si="26"/>
        <v>0</v>
      </c>
      <c r="H54" s="66"/>
      <c r="I54" s="113">
        <f t="shared" si="27"/>
        <v>0</v>
      </c>
      <c r="J54" s="66"/>
      <c r="K54" s="113"/>
      <c r="L54" s="83">
        <f t="shared" si="22"/>
        <v>0</v>
      </c>
      <c r="M54" s="66"/>
      <c r="N54" s="17"/>
      <c r="O54" s="23" t="e">
        <f t="shared" ref="O54" si="29">P54/C54</f>
        <v>#DIV/0!</v>
      </c>
      <c r="P54" s="18"/>
      <c r="Q54" s="18"/>
      <c r="R54" s="18"/>
      <c r="S54" s="19"/>
      <c r="T54" s="20"/>
      <c r="U54" s="62"/>
      <c r="V54" s="68"/>
      <c r="W54" s="68"/>
      <c r="X54" s="68"/>
      <c r="Y54" s="68"/>
      <c r="Z54" s="68"/>
      <c r="AA54" s="69"/>
    </row>
    <row r="55" spans="1:27" s="61" customFormat="1">
      <c r="A55" s="64"/>
      <c r="B55" s="60"/>
      <c r="C55" s="65"/>
      <c r="D55" s="63"/>
      <c r="E55" s="113">
        <f t="shared" si="25"/>
        <v>0</v>
      </c>
      <c r="F55" s="59"/>
      <c r="G55" s="84">
        <f t="shared" si="26"/>
        <v>0</v>
      </c>
      <c r="H55" s="66"/>
      <c r="I55" s="113">
        <f t="shared" si="27"/>
        <v>0</v>
      </c>
      <c r="J55" s="66"/>
      <c r="K55" s="113"/>
      <c r="L55" s="83">
        <f t="shared" si="22"/>
        <v>0</v>
      </c>
      <c r="M55" s="66"/>
      <c r="N55" s="17"/>
      <c r="O55" s="23" t="e">
        <f>P55/C55</f>
        <v>#DIV/0!</v>
      </c>
      <c r="P55" s="18"/>
      <c r="Q55" s="18"/>
      <c r="R55" s="18"/>
      <c r="S55" s="19"/>
      <c r="T55" s="20"/>
      <c r="U55" s="62"/>
      <c r="V55" s="68"/>
      <c r="W55" s="68"/>
      <c r="X55" s="68"/>
      <c r="Y55" s="68"/>
      <c r="Z55" s="68"/>
      <c r="AA55" s="69"/>
    </row>
    <row r="56" spans="1:27" s="61" customFormat="1">
      <c r="A56" s="204"/>
      <c r="B56" s="60"/>
      <c r="C56" s="206"/>
      <c r="D56" s="63"/>
      <c r="E56" s="113">
        <f t="shared" si="25"/>
        <v>0</v>
      </c>
      <c r="F56" s="59"/>
      <c r="G56" s="84">
        <f t="shared" si="26"/>
        <v>0</v>
      </c>
      <c r="H56" s="66"/>
      <c r="I56" s="113">
        <f t="shared" si="27"/>
        <v>0</v>
      </c>
      <c r="J56" s="66"/>
      <c r="K56" s="113"/>
      <c r="L56" s="83">
        <f t="shared" ref="L56" si="30">K56*C56</f>
        <v>0</v>
      </c>
      <c r="M56" s="66"/>
      <c r="N56" s="17"/>
      <c r="O56" s="23" t="e">
        <f>P56/C56</f>
        <v>#DIV/0!</v>
      </c>
      <c r="P56" s="18"/>
      <c r="Q56" s="89"/>
      <c r="R56" s="89"/>
      <c r="S56" s="208"/>
      <c r="T56" s="210"/>
      <c r="U56" s="212"/>
      <c r="V56" s="68"/>
      <c r="W56" s="68"/>
      <c r="X56" s="68"/>
      <c r="Y56" s="68"/>
      <c r="Z56" s="68"/>
      <c r="AA56" s="69"/>
    </row>
    <row r="57" spans="1:27" s="61" customFormat="1">
      <c r="A57" s="205"/>
      <c r="B57" s="60"/>
      <c r="C57" s="207"/>
      <c r="D57" s="63"/>
      <c r="E57" s="113"/>
      <c r="F57" s="59"/>
      <c r="G57" s="84"/>
      <c r="H57" s="66"/>
      <c r="I57" s="113"/>
      <c r="J57" s="66"/>
      <c r="K57" s="113"/>
      <c r="L57" s="83">
        <f>K57*C57</f>
        <v>0</v>
      </c>
      <c r="M57" s="66"/>
      <c r="N57" s="17"/>
      <c r="O57" s="23" t="e">
        <f>P57/C57</f>
        <v>#DIV/0!</v>
      </c>
      <c r="P57" s="18"/>
      <c r="Q57" s="18"/>
      <c r="R57" s="18"/>
      <c r="S57" s="209"/>
      <c r="T57" s="211"/>
      <c r="U57" s="213"/>
      <c r="V57" s="68"/>
      <c r="W57" s="68"/>
      <c r="X57" s="68"/>
      <c r="Y57" s="68"/>
      <c r="Z57" s="68"/>
      <c r="AA57" s="69"/>
    </row>
    <row r="58" spans="1:27" s="61" customFormat="1">
      <c r="A58" s="64"/>
      <c r="B58" s="60"/>
      <c r="C58" s="65"/>
      <c r="D58" s="63"/>
      <c r="E58" s="113">
        <f>C58*D58</f>
        <v>0</v>
      </c>
      <c r="F58" s="59"/>
      <c r="G58" s="84">
        <f>F58*C58</f>
        <v>0</v>
      </c>
      <c r="H58" s="66"/>
      <c r="I58" s="113">
        <f>+H58*C58</f>
        <v>0</v>
      </c>
      <c r="J58" s="66"/>
      <c r="K58" s="113"/>
      <c r="L58" s="83">
        <f t="shared" ref="L58" si="31">K58*C58</f>
        <v>0</v>
      </c>
      <c r="M58" s="66"/>
      <c r="N58" s="17"/>
      <c r="O58" s="23" t="e">
        <f t="shared" ref="O58:O59" si="32">P58/C58</f>
        <v>#DIV/0!</v>
      </c>
      <c r="P58" s="18"/>
      <c r="Q58" s="18"/>
      <c r="R58" s="18"/>
      <c r="S58" s="19"/>
      <c r="T58" s="20"/>
      <c r="U58" s="62"/>
      <c r="V58" s="68"/>
      <c r="W58" s="68"/>
      <c r="X58" s="68"/>
      <c r="Y58" s="68"/>
      <c r="Z58" s="68"/>
      <c r="AA58" s="69"/>
    </row>
    <row r="59" spans="1:27" s="61" customFormat="1">
      <c r="A59" s="64"/>
      <c r="B59" s="60"/>
      <c r="C59" s="65"/>
      <c r="D59" s="63"/>
      <c r="E59" s="113">
        <f t="shared" ref="E59:E71" si="33">C59*D59</f>
        <v>0</v>
      </c>
      <c r="F59" s="59"/>
      <c r="G59" s="84"/>
      <c r="H59" s="66"/>
      <c r="I59" s="113"/>
      <c r="J59" s="66"/>
      <c r="K59" s="113"/>
      <c r="L59" s="83">
        <f>K59*C59</f>
        <v>0</v>
      </c>
      <c r="M59" s="66"/>
      <c r="N59" s="17"/>
      <c r="O59" s="23" t="e">
        <f t="shared" si="32"/>
        <v>#DIV/0!</v>
      </c>
      <c r="P59" s="18"/>
      <c r="Q59" s="18"/>
      <c r="R59" s="18"/>
      <c r="S59" s="19"/>
      <c r="T59" s="20"/>
      <c r="U59" s="62"/>
      <c r="V59" s="68"/>
      <c r="W59" s="68"/>
      <c r="X59" s="68"/>
      <c r="Y59" s="68"/>
      <c r="Z59" s="68"/>
      <c r="AA59" s="69"/>
    </row>
    <row r="60" spans="1:27" s="61" customFormat="1">
      <c r="A60" s="64"/>
      <c r="B60" s="60"/>
      <c r="C60" s="65"/>
      <c r="D60" s="63"/>
      <c r="E60" s="113">
        <f t="shared" si="33"/>
        <v>0</v>
      </c>
      <c r="F60" s="59"/>
      <c r="G60" s="84">
        <f t="shared" ref="G60:G61" si="34">F60*C60</f>
        <v>0</v>
      </c>
      <c r="H60" s="66"/>
      <c r="I60" s="113">
        <f t="shared" ref="I60:I61" si="35">+H60*C60</f>
        <v>0</v>
      </c>
      <c r="J60" s="66"/>
      <c r="K60" s="113"/>
      <c r="L60" s="83">
        <f t="shared" ref="L60:L61" si="36">K60*C60</f>
        <v>0</v>
      </c>
      <c r="M60" s="66"/>
      <c r="N60" s="17"/>
      <c r="O60" s="23" t="e">
        <f t="shared" ref="O60:O61" si="37">P60/C60</f>
        <v>#DIV/0!</v>
      </c>
      <c r="P60" s="18"/>
      <c r="Q60" s="18"/>
      <c r="R60" s="18"/>
      <c r="S60" s="19"/>
      <c r="T60" s="20"/>
      <c r="U60" s="62"/>
      <c r="V60" s="68"/>
      <c r="W60" s="68"/>
      <c r="X60" s="68"/>
      <c r="Y60" s="68"/>
      <c r="Z60" s="68"/>
      <c r="AA60" s="69"/>
    </row>
    <row r="61" spans="1:27" s="61" customFormat="1">
      <c r="A61" s="64"/>
      <c r="B61" s="60"/>
      <c r="C61" s="65"/>
      <c r="D61" s="63"/>
      <c r="E61" s="113">
        <f t="shared" si="33"/>
        <v>0</v>
      </c>
      <c r="F61" s="59"/>
      <c r="G61" s="84">
        <f t="shared" si="34"/>
        <v>0</v>
      </c>
      <c r="H61" s="66"/>
      <c r="I61" s="113">
        <f t="shared" si="35"/>
        <v>0</v>
      </c>
      <c r="J61" s="66"/>
      <c r="K61" s="113"/>
      <c r="L61" s="83">
        <f t="shared" si="36"/>
        <v>0</v>
      </c>
      <c r="M61" s="66"/>
      <c r="N61" s="17"/>
      <c r="O61" s="23" t="e">
        <f t="shared" si="37"/>
        <v>#DIV/0!</v>
      </c>
      <c r="P61" s="18"/>
      <c r="Q61" s="18"/>
      <c r="R61" s="18"/>
      <c r="S61" s="19"/>
      <c r="T61" s="20"/>
      <c r="U61" s="62"/>
      <c r="V61" s="68"/>
      <c r="W61" s="68"/>
      <c r="X61" s="68"/>
      <c r="Y61" s="68"/>
      <c r="Z61" s="68"/>
      <c r="AA61" s="69"/>
    </row>
    <row r="62" spans="1:27" s="61" customFormat="1">
      <c r="A62" s="64"/>
      <c r="B62" s="60"/>
      <c r="C62" s="65"/>
      <c r="D62" s="63"/>
      <c r="E62" s="113">
        <f t="shared" si="33"/>
        <v>0</v>
      </c>
      <c r="F62" s="66"/>
      <c r="G62" s="84">
        <f t="shared" ref="G62:G70" si="38">F62*C62/1000</f>
        <v>0</v>
      </c>
      <c r="H62" s="66"/>
      <c r="I62" s="113">
        <f t="shared" ref="I62:I69" si="39">+H62*C62</f>
        <v>0</v>
      </c>
      <c r="J62" s="66"/>
      <c r="K62" s="113"/>
      <c r="L62" s="83">
        <f t="shared" si="24"/>
        <v>0</v>
      </c>
      <c r="M62" s="66"/>
      <c r="N62" s="67"/>
      <c r="O62" s="23" t="e">
        <f t="shared" ref="O62:O82" si="40">P62/C62</f>
        <v>#DIV/0!</v>
      </c>
      <c r="P62" s="18"/>
      <c r="Q62" s="18"/>
      <c r="R62" s="18"/>
      <c r="S62" s="19"/>
      <c r="T62" s="20"/>
      <c r="U62" s="62"/>
      <c r="V62" s="68"/>
      <c r="W62" s="68"/>
      <c r="X62" s="68"/>
      <c r="Y62" s="68"/>
      <c r="Z62" s="68"/>
      <c r="AA62" s="69"/>
    </row>
    <row r="63" spans="1:27" s="61" customFormat="1">
      <c r="A63" s="64"/>
      <c r="B63" s="60"/>
      <c r="C63" s="65"/>
      <c r="D63" s="63"/>
      <c r="E63" s="113">
        <f t="shared" si="33"/>
        <v>0</v>
      </c>
      <c r="F63" s="66"/>
      <c r="G63" s="84">
        <f t="shared" si="38"/>
        <v>0</v>
      </c>
      <c r="H63" s="66"/>
      <c r="I63" s="113">
        <f t="shared" si="39"/>
        <v>0</v>
      </c>
      <c r="J63" s="66"/>
      <c r="K63" s="113"/>
      <c r="L63" s="83">
        <f t="shared" si="24"/>
        <v>0</v>
      </c>
      <c r="M63" s="66"/>
      <c r="N63" s="67"/>
      <c r="O63" s="23" t="e">
        <f t="shared" si="40"/>
        <v>#DIV/0!</v>
      </c>
      <c r="P63" s="18"/>
      <c r="Q63" s="18"/>
      <c r="R63" s="18"/>
      <c r="S63" s="19"/>
      <c r="T63" s="20"/>
      <c r="U63" s="62"/>
      <c r="V63" s="68"/>
      <c r="W63" s="68"/>
      <c r="X63" s="68"/>
      <c r="Y63" s="68"/>
      <c r="Z63" s="68"/>
      <c r="AA63" s="69"/>
    </row>
    <row r="64" spans="1:27" s="61" customFormat="1">
      <c r="A64" s="64"/>
      <c r="B64" s="60"/>
      <c r="C64" s="65"/>
      <c r="D64" s="63"/>
      <c r="E64" s="113">
        <f t="shared" si="33"/>
        <v>0</v>
      </c>
      <c r="F64" s="66"/>
      <c r="G64" s="84">
        <f t="shared" si="38"/>
        <v>0</v>
      </c>
      <c r="H64" s="66"/>
      <c r="I64" s="113">
        <f t="shared" si="39"/>
        <v>0</v>
      </c>
      <c r="J64" s="66"/>
      <c r="K64" s="113"/>
      <c r="L64" s="83">
        <f t="shared" si="24"/>
        <v>0</v>
      </c>
      <c r="M64" s="66"/>
      <c r="N64" s="67"/>
      <c r="O64" s="23" t="e">
        <f t="shared" si="40"/>
        <v>#DIV/0!</v>
      </c>
      <c r="P64" s="18"/>
      <c r="Q64" s="18"/>
      <c r="R64" s="18"/>
      <c r="S64" s="19"/>
      <c r="T64" s="20"/>
      <c r="U64" s="62"/>
      <c r="V64" s="68"/>
      <c r="W64" s="68"/>
      <c r="X64" s="68"/>
      <c r="Y64" s="68"/>
      <c r="Z64" s="68"/>
      <c r="AA64" s="69"/>
    </row>
    <row r="65" spans="1:27" s="61" customFormat="1">
      <c r="A65" s="64"/>
      <c r="B65" s="60"/>
      <c r="C65" s="65"/>
      <c r="D65" s="63"/>
      <c r="E65" s="113">
        <f t="shared" si="33"/>
        <v>0</v>
      </c>
      <c r="F65" s="66"/>
      <c r="G65" s="84">
        <f t="shared" si="38"/>
        <v>0</v>
      </c>
      <c r="H65" s="66"/>
      <c r="I65" s="113">
        <f t="shared" si="39"/>
        <v>0</v>
      </c>
      <c r="J65" s="66"/>
      <c r="K65" s="113"/>
      <c r="L65" s="83">
        <f t="shared" si="24"/>
        <v>0</v>
      </c>
      <c r="M65" s="66"/>
      <c r="N65" s="67"/>
      <c r="O65" s="23" t="e">
        <f t="shared" si="40"/>
        <v>#DIV/0!</v>
      </c>
      <c r="P65" s="18"/>
      <c r="Q65" s="18"/>
      <c r="R65" s="18"/>
      <c r="S65" s="19"/>
      <c r="T65" s="20"/>
      <c r="U65" s="62"/>
      <c r="V65" s="68"/>
      <c r="W65" s="68"/>
      <c r="X65" s="68"/>
      <c r="Y65" s="68"/>
      <c r="Z65" s="68"/>
      <c r="AA65" s="69"/>
    </row>
    <row r="66" spans="1:27" s="61" customFormat="1">
      <c r="A66" s="64"/>
      <c r="B66" s="60"/>
      <c r="C66" s="65"/>
      <c r="D66" s="63"/>
      <c r="E66" s="113">
        <f t="shared" si="33"/>
        <v>0</v>
      </c>
      <c r="F66" s="66"/>
      <c r="G66" s="84">
        <f t="shared" si="38"/>
        <v>0</v>
      </c>
      <c r="H66" s="66"/>
      <c r="I66" s="113">
        <f t="shared" si="39"/>
        <v>0</v>
      </c>
      <c r="J66" s="66"/>
      <c r="K66" s="113"/>
      <c r="L66" s="83">
        <f t="shared" si="24"/>
        <v>0</v>
      </c>
      <c r="M66" s="66"/>
      <c r="N66" s="67"/>
      <c r="O66" s="23" t="e">
        <f t="shared" si="40"/>
        <v>#DIV/0!</v>
      </c>
      <c r="P66" s="18"/>
      <c r="Q66" s="18"/>
      <c r="R66" s="18"/>
      <c r="S66" s="19"/>
      <c r="T66" s="20"/>
      <c r="U66" s="62"/>
      <c r="V66" s="68"/>
      <c r="W66" s="68"/>
      <c r="X66" s="68"/>
      <c r="Y66" s="68"/>
      <c r="Z66" s="68"/>
      <c r="AA66" s="69"/>
    </row>
    <row r="67" spans="1:27" s="61" customFormat="1">
      <c r="A67" s="64"/>
      <c r="B67" s="60"/>
      <c r="C67" s="65"/>
      <c r="D67" s="63"/>
      <c r="E67" s="113">
        <f t="shared" si="33"/>
        <v>0</v>
      </c>
      <c r="F67" s="66"/>
      <c r="G67" s="84">
        <f t="shared" si="38"/>
        <v>0</v>
      </c>
      <c r="H67" s="66"/>
      <c r="I67" s="113">
        <f t="shared" si="39"/>
        <v>0</v>
      </c>
      <c r="J67" s="66"/>
      <c r="K67" s="113"/>
      <c r="L67" s="83">
        <f t="shared" si="24"/>
        <v>0</v>
      </c>
      <c r="M67" s="66"/>
      <c r="N67" s="67"/>
      <c r="O67" s="23" t="e">
        <f t="shared" si="40"/>
        <v>#DIV/0!</v>
      </c>
      <c r="P67" s="18"/>
      <c r="Q67" s="18"/>
      <c r="R67" s="18"/>
      <c r="S67" s="19"/>
      <c r="T67" s="20"/>
      <c r="U67" s="62"/>
      <c r="V67" s="68"/>
      <c r="W67" s="68"/>
      <c r="X67" s="68"/>
      <c r="Y67" s="68"/>
      <c r="Z67" s="68"/>
      <c r="AA67" s="69"/>
    </row>
    <row r="68" spans="1:27" s="61" customFormat="1">
      <c r="A68" s="64"/>
      <c r="B68" s="60"/>
      <c r="C68" s="65"/>
      <c r="D68" s="63"/>
      <c r="E68" s="113">
        <f t="shared" si="33"/>
        <v>0</v>
      </c>
      <c r="F68" s="66"/>
      <c r="G68" s="84">
        <f t="shared" si="38"/>
        <v>0</v>
      </c>
      <c r="H68" s="66"/>
      <c r="I68" s="113">
        <f t="shared" si="39"/>
        <v>0</v>
      </c>
      <c r="J68" s="66"/>
      <c r="K68" s="113"/>
      <c r="L68" s="83">
        <f t="shared" si="24"/>
        <v>0</v>
      </c>
      <c r="M68" s="66"/>
      <c r="N68" s="67"/>
      <c r="O68" s="23" t="e">
        <f t="shared" si="40"/>
        <v>#DIV/0!</v>
      </c>
      <c r="P68" s="18"/>
      <c r="Q68" s="18"/>
      <c r="R68" s="18"/>
      <c r="S68" s="19"/>
      <c r="T68" s="20"/>
      <c r="U68" s="62"/>
      <c r="V68" s="68"/>
      <c r="W68" s="68"/>
      <c r="X68" s="68"/>
      <c r="Y68" s="68"/>
      <c r="Z68" s="68"/>
      <c r="AA68" s="69"/>
    </row>
    <row r="69" spans="1:27" s="61" customFormat="1">
      <c r="A69" s="64"/>
      <c r="B69" s="60"/>
      <c r="C69" s="65"/>
      <c r="D69" s="63"/>
      <c r="E69" s="113">
        <f t="shared" si="33"/>
        <v>0</v>
      </c>
      <c r="F69" s="66"/>
      <c r="G69" s="84">
        <f t="shared" si="38"/>
        <v>0</v>
      </c>
      <c r="H69" s="66"/>
      <c r="I69" s="113">
        <f t="shared" si="39"/>
        <v>0</v>
      </c>
      <c r="J69" s="66"/>
      <c r="K69" s="113"/>
      <c r="L69" s="83">
        <f t="shared" si="24"/>
        <v>0</v>
      </c>
      <c r="M69" s="66"/>
      <c r="N69" s="67"/>
      <c r="O69" s="23" t="e">
        <f t="shared" si="40"/>
        <v>#DIV/0!</v>
      </c>
      <c r="P69" s="18"/>
      <c r="Q69" s="18"/>
      <c r="R69" s="18"/>
      <c r="S69" s="19"/>
      <c r="T69" s="20"/>
      <c r="U69" s="62"/>
      <c r="V69" s="68"/>
      <c r="W69" s="68"/>
      <c r="X69" s="68"/>
      <c r="Y69" s="68"/>
      <c r="Z69" s="68"/>
      <c r="AA69" s="69"/>
    </row>
    <row r="70" spans="1:27" s="61" customFormat="1">
      <c r="A70" s="64"/>
      <c r="B70" s="60"/>
      <c r="C70" s="65"/>
      <c r="D70" s="63"/>
      <c r="E70" s="113">
        <f t="shared" si="33"/>
        <v>0</v>
      </c>
      <c r="F70" s="66"/>
      <c r="G70" s="84">
        <f t="shared" si="38"/>
        <v>0</v>
      </c>
      <c r="H70" s="66"/>
      <c r="I70" s="113"/>
      <c r="J70" s="66"/>
      <c r="K70" s="113"/>
      <c r="L70" s="83">
        <f t="shared" si="24"/>
        <v>0</v>
      </c>
      <c r="M70" s="66"/>
      <c r="N70" s="67"/>
      <c r="O70" s="23" t="e">
        <f t="shared" si="40"/>
        <v>#DIV/0!</v>
      </c>
      <c r="P70" s="18"/>
      <c r="Q70" s="18"/>
      <c r="R70" s="18"/>
      <c r="S70" s="19"/>
      <c r="T70" s="20"/>
      <c r="U70" s="62"/>
      <c r="V70" s="68"/>
      <c r="W70" s="68"/>
      <c r="X70" s="68"/>
      <c r="Y70" s="68"/>
      <c r="Z70" s="68"/>
      <c r="AA70" s="69"/>
    </row>
    <row r="71" spans="1:27" s="61" customFormat="1">
      <c r="A71" s="64"/>
      <c r="B71" s="60"/>
      <c r="C71" s="65"/>
      <c r="D71" s="63"/>
      <c r="E71" s="113">
        <f t="shared" si="33"/>
        <v>0</v>
      </c>
      <c r="F71" s="66"/>
      <c r="G71" s="66"/>
      <c r="H71" s="66"/>
      <c r="I71" s="113"/>
      <c r="J71" s="66"/>
      <c r="K71" s="113"/>
      <c r="L71" s="83">
        <f t="shared" si="24"/>
        <v>0</v>
      </c>
      <c r="M71" s="66"/>
      <c r="N71" s="67"/>
      <c r="O71" s="23" t="e">
        <f t="shared" si="40"/>
        <v>#DIV/0!</v>
      </c>
      <c r="P71" s="18"/>
      <c r="Q71" s="18"/>
      <c r="R71" s="18"/>
      <c r="S71" s="19"/>
      <c r="T71" s="20"/>
      <c r="U71" s="62"/>
      <c r="V71" s="68"/>
      <c r="W71" s="68"/>
      <c r="X71" s="68"/>
      <c r="Y71" s="68"/>
      <c r="Z71" s="68"/>
      <c r="AA71" s="69"/>
    </row>
    <row r="72" spans="1:27" s="61" customFormat="1">
      <c r="A72" s="64"/>
      <c r="B72" s="60"/>
      <c r="C72" s="65"/>
      <c r="D72" s="63"/>
      <c r="E72" s="113"/>
      <c r="F72" s="66"/>
      <c r="G72" s="66"/>
      <c r="H72" s="66"/>
      <c r="I72" s="113"/>
      <c r="J72" s="66"/>
      <c r="K72" s="113"/>
      <c r="L72" s="83">
        <f t="shared" si="24"/>
        <v>0</v>
      </c>
      <c r="M72" s="66"/>
      <c r="N72" s="75"/>
      <c r="O72" s="23" t="e">
        <f t="shared" si="40"/>
        <v>#DIV/0!</v>
      </c>
      <c r="P72" s="18"/>
      <c r="Q72" s="18"/>
      <c r="R72" s="18"/>
      <c r="S72" s="19"/>
      <c r="T72" s="20"/>
      <c r="U72" s="62"/>
      <c r="V72" s="68"/>
      <c r="W72" s="68"/>
      <c r="X72" s="68"/>
      <c r="Y72" s="68"/>
      <c r="Z72" s="68"/>
      <c r="AA72" s="69"/>
    </row>
    <row r="73" spans="1:27">
      <c r="A73" s="71"/>
      <c r="B73" s="60"/>
      <c r="C73" s="65"/>
      <c r="D73" s="63"/>
      <c r="E73" s="113"/>
      <c r="F73" s="66"/>
      <c r="G73" s="66"/>
      <c r="H73" s="74"/>
      <c r="I73" s="113"/>
      <c r="J73" s="74"/>
      <c r="K73" s="121"/>
      <c r="L73" s="83">
        <f t="shared" si="24"/>
        <v>0</v>
      </c>
      <c r="M73" s="74"/>
      <c r="N73" s="75"/>
      <c r="O73" s="23" t="e">
        <f t="shared" si="40"/>
        <v>#DIV/0!</v>
      </c>
      <c r="P73" s="18"/>
      <c r="Q73" s="18"/>
      <c r="R73" s="18"/>
      <c r="S73" s="19"/>
      <c r="T73" s="20"/>
      <c r="U73" s="76"/>
      <c r="V73" s="78"/>
      <c r="W73" s="78"/>
      <c r="X73" s="78"/>
      <c r="Y73" s="78"/>
      <c r="Z73" s="78"/>
      <c r="AA73" s="81"/>
    </row>
    <row r="74" spans="1:27">
      <c r="A74" s="71"/>
      <c r="B74" s="60"/>
      <c r="C74" s="65"/>
      <c r="D74" s="63"/>
      <c r="E74" s="113"/>
      <c r="F74" s="66"/>
      <c r="G74" s="66"/>
      <c r="H74" s="74"/>
      <c r="I74" s="113"/>
      <c r="J74" s="74"/>
      <c r="K74" s="121"/>
      <c r="L74" s="83">
        <f t="shared" si="24"/>
        <v>0</v>
      </c>
      <c r="M74" s="74"/>
      <c r="N74" s="75"/>
      <c r="O74" s="23" t="e">
        <f t="shared" si="40"/>
        <v>#DIV/0!</v>
      </c>
      <c r="P74" s="18"/>
      <c r="Q74" s="18"/>
      <c r="R74" s="18"/>
      <c r="S74" s="19"/>
      <c r="T74" s="20"/>
      <c r="U74" s="76"/>
      <c r="V74" s="78"/>
      <c r="W74" s="78"/>
      <c r="X74" s="78"/>
      <c r="Y74" s="78"/>
      <c r="Z74" s="78"/>
      <c r="AA74" s="81"/>
    </row>
    <row r="75" spans="1:27">
      <c r="A75" s="71"/>
      <c r="B75" s="60"/>
      <c r="C75" s="65"/>
      <c r="D75" s="63"/>
      <c r="E75" s="113"/>
      <c r="F75" s="66"/>
      <c r="G75" s="66"/>
      <c r="H75" s="74"/>
      <c r="I75" s="113"/>
      <c r="J75" s="74"/>
      <c r="K75" s="121"/>
      <c r="L75" s="83">
        <f t="shared" si="24"/>
        <v>0</v>
      </c>
      <c r="M75" s="74"/>
      <c r="N75" s="75"/>
      <c r="O75" s="23" t="e">
        <f t="shared" si="40"/>
        <v>#DIV/0!</v>
      </c>
      <c r="P75" s="18"/>
      <c r="Q75" s="18"/>
      <c r="R75" s="18"/>
      <c r="S75" s="19"/>
      <c r="T75" s="20"/>
      <c r="U75" s="76"/>
      <c r="V75" s="78"/>
      <c r="W75" s="78"/>
      <c r="X75" s="78"/>
      <c r="Y75" s="78"/>
      <c r="Z75" s="78"/>
      <c r="AA75" s="81"/>
    </row>
    <row r="76" spans="1:27">
      <c r="A76" s="71"/>
      <c r="B76" s="60"/>
      <c r="C76" s="65"/>
      <c r="D76" s="63"/>
      <c r="E76" s="113"/>
      <c r="F76" s="66"/>
      <c r="G76" s="66"/>
      <c r="H76" s="74"/>
      <c r="I76" s="113"/>
      <c r="J76" s="74"/>
      <c r="K76" s="121"/>
      <c r="L76" s="74"/>
      <c r="M76" s="74"/>
      <c r="N76" s="75"/>
      <c r="O76" s="23" t="e">
        <f t="shared" si="40"/>
        <v>#DIV/0!</v>
      </c>
      <c r="P76" s="18"/>
      <c r="Q76" s="18"/>
      <c r="R76" s="18"/>
      <c r="S76" s="19"/>
      <c r="T76" s="20"/>
      <c r="U76" s="76"/>
      <c r="V76" s="78"/>
      <c r="W76" s="78"/>
      <c r="X76" s="78"/>
      <c r="Y76" s="78"/>
      <c r="Z76" s="78"/>
      <c r="AA76" s="81"/>
    </row>
    <row r="77" spans="1:27">
      <c r="A77" s="71"/>
      <c r="B77" s="60"/>
      <c r="C77" s="65"/>
      <c r="D77" s="63"/>
      <c r="E77" s="113"/>
      <c r="F77" s="66"/>
      <c r="G77" s="66"/>
      <c r="H77" s="74"/>
      <c r="I77" s="113"/>
      <c r="J77" s="74"/>
      <c r="K77" s="121"/>
      <c r="L77" s="74"/>
      <c r="M77" s="74"/>
      <c r="N77" s="75"/>
      <c r="O77" s="23" t="e">
        <f t="shared" si="40"/>
        <v>#DIV/0!</v>
      </c>
      <c r="P77" s="18"/>
      <c r="Q77" s="18"/>
      <c r="R77" s="18"/>
      <c r="S77" s="19"/>
      <c r="T77" s="20"/>
      <c r="U77" s="76"/>
      <c r="V77" s="78"/>
      <c r="W77" s="78"/>
      <c r="X77" s="78"/>
      <c r="Y77" s="78"/>
      <c r="Z77" s="78"/>
      <c r="AA77" s="81"/>
    </row>
    <row r="78" spans="1:27">
      <c r="A78" s="71"/>
      <c r="B78" s="60"/>
      <c r="C78" s="65"/>
      <c r="D78" s="63"/>
      <c r="E78" s="113"/>
      <c r="F78" s="66"/>
      <c r="G78" s="66"/>
      <c r="H78" s="74"/>
      <c r="I78" s="113"/>
      <c r="J78" s="74"/>
      <c r="K78" s="121"/>
      <c r="L78" s="74"/>
      <c r="M78" s="74"/>
      <c r="N78" s="75"/>
      <c r="O78" s="23" t="e">
        <f t="shared" si="40"/>
        <v>#DIV/0!</v>
      </c>
      <c r="P78" s="18"/>
      <c r="Q78" s="18"/>
      <c r="R78" s="18"/>
      <c r="S78" s="19"/>
      <c r="T78" s="20"/>
      <c r="U78" s="76"/>
      <c r="V78" s="78"/>
      <c r="W78" s="78"/>
      <c r="X78" s="78"/>
      <c r="Y78" s="78"/>
      <c r="Z78" s="78"/>
      <c r="AA78" s="81"/>
    </row>
    <row r="79" spans="1:27">
      <c r="A79" s="71"/>
      <c r="B79" s="60"/>
      <c r="C79" s="65"/>
      <c r="D79" s="63"/>
      <c r="E79" s="113"/>
      <c r="F79" s="66"/>
      <c r="G79" s="66"/>
      <c r="H79" s="74"/>
      <c r="I79" s="113"/>
      <c r="J79" s="74"/>
      <c r="K79" s="121"/>
      <c r="L79" s="74"/>
      <c r="M79" s="74"/>
      <c r="N79" s="75"/>
      <c r="O79" s="23" t="e">
        <f t="shared" si="40"/>
        <v>#DIV/0!</v>
      </c>
      <c r="P79" s="18"/>
      <c r="Q79" s="18"/>
      <c r="R79" s="18"/>
      <c r="S79" s="19"/>
      <c r="T79" s="20"/>
      <c r="U79" s="76"/>
      <c r="V79" s="78"/>
      <c r="W79" s="78"/>
      <c r="X79" s="78"/>
      <c r="Y79" s="78"/>
      <c r="Z79" s="78"/>
      <c r="AA79" s="81"/>
    </row>
    <row r="80" spans="1:27">
      <c r="A80" s="71"/>
      <c r="B80" s="60"/>
      <c r="C80" s="65"/>
      <c r="D80" s="63"/>
      <c r="E80" s="113"/>
      <c r="F80" s="66"/>
      <c r="G80" s="66"/>
      <c r="H80" s="74"/>
      <c r="I80" s="113"/>
      <c r="J80" s="74"/>
      <c r="K80" s="121"/>
      <c r="L80" s="74"/>
      <c r="M80" s="74"/>
      <c r="N80" s="75"/>
      <c r="O80" s="23" t="e">
        <f t="shared" si="40"/>
        <v>#DIV/0!</v>
      </c>
      <c r="P80" s="18"/>
      <c r="Q80" s="18"/>
      <c r="R80" s="18"/>
      <c r="S80" s="19"/>
      <c r="T80" s="20"/>
      <c r="U80" s="76"/>
      <c r="V80" s="78"/>
      <c r="W80" s="78"/>
      <c r="X80" s="78"/>
      <c r="Y80" s="78"/>
      <c r="Z80" s="78"/>
      <c r="AA80" s="81"/>
    </row>
    <row r="81" spans="1:27">
      <c r="A81" s="71"/>
      <c r="B81" s="60"/>
      <c r="C81" s="65"/>
      <c r="D81" s="63"/>
      <c r="E81" s="113"/>
      <c r="F81" s="66"/>
      <c r="G81" s="66"/>
      <c r="H81" s="74"/>
      <c r="I81" s="113"/>
      <c r="J81" s="74"/>
      <c r="K81" s="121"/>
      <c r="L81" s="74"/>
      <c r="M81" s="74"/>
      <c r="N81" s="75"/>
      <c r="O81" s="23" t="e">
        <f t="shared" si="40"/>
        <v>#DIV/0!</v>
      </c>
      <c r="P81" s="18"/>
      <c r="Q81" s="18"/>
      <c r="R81" s="18"/>
      <c r="S81" s="19"/>
      <c r="T81" s="20"/>
      <c r="U81" s="76"/>
      <c r="V81" s="78"/>
      <c r="W81" s="78"/>
      <c r="X81" s="78"/>
      <c r="Y81" s="78"/>
      <c r="Z81" s="78"/>
      <c r="AA81" s="81"/>
    </row>
    <row r="82" spans="1:27" ht="13.5" thickBot="1">
      <c r="A82" s="72"/>
      <c r="B82" s="60"/>
      <c r="C82" s="65"/>
      <c r="D82" s="63"/>
      <c r="E82" s="113"/>
      <c r="F82" s="66"/>
      <c r="G82" s="66"/>
      <c r="H82" s="74"/>
      <c r="I82" s="113"/>
      <c r="J82" s="74"/>
      <c r="K82" s="121"/>
      <c r="L82" s="74"/>
      <c r="M82" s="74"/>
      <c r="N82" s="75"/>
      <c r="O82" s="23" t="e">
        <f t="shared" si="40"/>
        <v>#DIV/0!</v>
      </c>
      <c r="P82" s="18"/>
      <c r="Q82" s="18"/>
      <c r="R82" s="18"/>
      <c r="S82" s="19"/>
      <c r="T82" s="20"/>
      <c r="U82" s="77"/>
      <c r="V82" s="79"/>
      <c r="W82" s="79"/>
      <c r="X82" s="79"/>
      <c r="Y82" s="79"/>
      <c r="Z82" s="79"/>
      <c r="AA82" s="82"/>
    </row>
    <row r="83" spans="1:27">
      <c r="A83" s="3"/>
      <c r="C83" s="3"/>
      <c r="D83" s="3"/>
      <c r="E83" s="117"/>
      <c r="F83" s="3"/>
      <c r="G83" s="3"/>
      <c r="H83" s="3"/>
      <c r="I83" s="117"/>
      <c r="J83" s="3"/>
      <c r="K83" s="117"/>
      <c r="L83" s="3"/>
      <c r="M83" s="3"/>
      <c r="N83" s="3"/>
      <c r="O83" s="3"/>
      <c r="P83" s="3"/>
      <c r="Q83" s="3"/>
      <c r="R83" s="3"/>
      <c r="S83" s="21"/>
      <c r="T83" s="3"/>
      <c r="U83" s="3"/>
      <c r="V83" s="3"/>
      <c r="W83" s="3"/>
      <c r="X83" s="3"/>
      <c r="Y83" s="3"/>
    </row>
    <row r="84" spans="1:27">
      <c r="E84" s="113">
        <f>SUBTOTAL(9,E7:E60)</f>
        <v>2178</v>
      </c>
      <c r="G84" s="87">
        <f>SUBTOTAL(9,G7:G60)/1000</f>
        <v>38.86</v>
      </c>
      <c r="I84" s="113">
        <f>SUBTOTAL(9,I7:I60)</f>
        <v>2899</v>
      </c>
      <c r="T84" s="4">
        <f>SUBTOTAL(9,T7:T83)</f>
        <v>102</v>
      </c>
    </row>
    <row r="85" spans="1:27">
      <c r="E85" s="115">
        <f>+E84/50</f>
        <v>43.56</v>
      </c>
      <c r="I85" s="115">
        <f>I84/50</f>
        <v>57.98</v>
      </c>
      <c r="T85" s="109">
        <f>+T84*100</f>
        <v>10200</v>
      </c>
    </row>
    <row r="86" spans="1:27">
      <c r="E86" s="118">
        <f>+E85*110</f>
        <v>4791.6000000000004</v>
      </c>
      <c r="F86" s="109"/>
      <c r="G86" s="109">
        <f>+G84*8.75</f>
        <v>340.02499999999998</v>
      </c>
      <c r="H86" s="109"/>
      <c r="I86" s="118">
        <f>+I85*170</f>
        <v>9856.6</v>
      </c>
    </row>
    <row r="87" spans="1:27" ht="13.5" thickBot="1"/>
    <row r="88" spans="1:27">
      <c r="P88" s="85">
        <f>SUBTOTAL(9,P7:P82)</f>
        <v>40666</v>
      </c>
      <c r="Q88" s="106"/>
      <c r="R88" s="106"/>
      <c r="S88" s="86">
        <f>SUBTOTAL(9,S7:S61)</f>
        <v>534</v>
      </c>
      <c r="T88" s="4">
        <f>SUBTOTAL(9,T7:T82)</f>
        <v>102</v>
      </c>
    </row>
    <row r="89" spans="1:27">
      <c r="P89" s="182">
        <f>+P88/S88</f>
        <v>76.153558052434462</v>
      </c>
      <c r="Q89" s="183"/>
      <c r="R89" s="183"/>
      <c r="S89" s="184"/>
    </row>
    <row r="90" spans="1:27">
      <c r="P90" s="188"/>
      <c r="Q90" s="189"/>
      <c r="R90" s="189"/>
      <c r="S90" s="190"/>
    </row>
    <row r="91" spans="1:27" ht="13.5" thickBot="1">
      <c r="P91" s="185">
        <f>+P88/50</f>
        <v>813.32</v>
      </c>
      <c r="Q91" s="186"/>
      <c r="R91" s="186"/>
      <c r="S91" s="187"/>
    </row>
    <row r="92" spans="1:27">
      <c r="Q92" s="2">
        <f>+P91*55</f>
        <v>44732.600000000006</v>
      </c>
    </row>
    <row r="93" spans="1:27">
      <c r="O93" s="2">
        <f>+P88/13</f>
        <v>3128.1538461538462</v>
      </c>
      <c r="Q93" s="2">
        <f>+Q92-14119.5</f>
        <v>30613.100000000006</v>
      </c>
    </row>
    <row r="94" spans="1:27">
      <c r="Q94" s="2">
        <f>+Q93/Q92</f>
        <v>0.68435771674349355</v>
      </c>
    </row>
    <row r="96" spans="1:27">
      <c r="L96" s="4">
        <f>1803.54-1058.6</f>
        <v>744.94</v>
      </c>
    </row>
  </sheetData>
  <autoFilter ref="A6:AA82" xr:uid="{C3C479DC-FA87-4576-9918-8545C57738BB}"/>
  <mergeCells count="51">
    <mergeCell ref="A56:A57"/>
    <mergeCell ref="C56:C57"/>
    <mergeCell ref="S56:S57"/>
    <mergeCell ref="T56:T57"/>
    <mergeCell ref="U56:U57"/>
    <mergeCell ref="D5:N5"/>
    <mergeCell ref="U5:AA5"/>
    <mergeCell ref="P89:S89"/>
    <mergeCell ref="P91:S91"/>
    <mergeCell ref="P90:S90"/>
    <mergeCell ref="S10:S11"/>
    <mergeCell ref="S17:S19"/>
    <mergeCell ref="O10:O11"/>
    <mergeCell ref="O17:O19"/>
    <mergeCell ref="N17:N19"/>
    <mergeCell ref="L17:L19"/>
    <mergeCell ref="T17:T19"/>
    <mergeCell ref="U17:U19"/>
    <mergeCell ref="V17:V19"/>
    <mergeCell ref="W17:W19"/>
    <mergeCell ref="X17:X19"/>
    <mergeCell ref="A10:A11"/>
    <mergeCell ref="A17:A19"/>
    <mergeCell ref="D17:D19"/>
    <mergeCell ref="H17:H19"/>
    <mergeCell ref="K17:K19"/>
    <mergeCell ref="E17:E19"/>
    <mergeCell ref="C17:C19"/>
    <mergeCell ref="G17:G19"/>
    <mergeCell ref="F17:F19"/>
    <mergeCell ref="I17:I19"/>
    <mergeCell ref="C10:C11"/>
    <mergeCell ref="D10:D11"/>
    <mergeCell ref="E10:E11"/>
    <mergeCell ref="G10:G11"/>
    <mergeCell ref="F10:F11"/>
    <mergeCell ref="H10:H11"/>
    <mergeCell ref="Z17:Z19"/>
    <mergeCell ref="AA17:AA19"/>
    <mergeCell ref="U10:U11"/>
    <mergeCell ref="V10:V11"/>
    <mergeCell ref="W10:W11"/>
    <mergeCell ref="X10:X11"/>
    <mergeCell ref="Y10:Y11"/>
    <mergeCell ref="Z10:Z11"/>
    <mergeCell ref="AA10:AA11"/>
    <mergeCell ref="I10:I11"/>
    <mergeCell ref="K10:K11"/>
    <mergeCell ref="L10:L11"/>
    <mergeCell ref="N10:N11"/>
    <mergeCell ref="Y17:Y19"/>
  </mergeCells>
  <pageMargins left="0.51181102362204722" right="0.51181102362204722" top="0.78740157480314965" bottom="0.78740157480314965" header="0.31496062992125984" footer="0.31496062992125984"/>
  <pageSetup paperSize="9" scale="58" orientation="landscape" r:id="rId1"/>
  <colBreaks count="1" manualBreakCount="1">
    <brk id="17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9E395-9499-4741-9BAE-62B2994DBBF8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331A6-CAF6-4B25-B2DF-C5A324B8BE6F}">
  <dimension ref="A1:L51"/>
  <sheetViews>
    <sheetView showGridLines="0" topLeftCell="A5" workbookViewId="0">
      <selection activeCell="J37" sqref="J37"/>
    </sheetView>
  </sheetViews>
  <sheetFormatPr defaultRowHeight="15"/>
  <cols>
    <col min="2" max="2" width="28.28515625" bestFit="1" customWidth="1"/>
    <col min="3" max="3" width="5.5703125" bestFit="1" customWidth="1"/>
    <col min="4" max="4" width="9.42578125" bestFit="1" customWidth="1"/>
    <col min="5" max="5" width="4.7109375" customWidth="1"/>
    <col min="7" max="7" width="9.42578125" bestFit="1" customWidth="1"/>
    <col min="8" max="8" width="9.140625" style="54"/>
  </cols>
  <sheetData>
    <row r="1" spans="1:12">
      <c r="A1" s="214" t="s">
        <v>19</v>
      </c>
      <c r="B1" s="214"/>
    </row>
    <row r="2" spans="1:12">
      <c r="A2" s="214"/>
      <c r="B2" s="214"/>
    </row>
    <row r="3" spans="1:12">
      <c r="A3" s="24"/>
      <c r="B3" s="24"/>
    </row>
    <row r="4" spans="1:12" ht="15.75" thickBot="1">
      <c r="A4" s="24"/>
      <c r="B4" s="24"/>
    </row>
    <row r="5" spans="1:12" ht="15.75" thickTop="1">
      <c r="C5" s="215">
        <v>45569</v>
      </c>
      <c r="D5" s="216"/>
      <c r="E5" s="51"/>
      <c r="F5" s="215">
        <v>45586</v>
      </c>
      <c r="G5" s="216"/>
      <c r="H5" s="55"/>
      <c r="I5" s="51"/>
      <c r="J5" s="51"/>
      <c r="K5" s="51"/>
      <c r="L5" s="51"/>
    </row>
    <row r="6" spans="1:12">
      <c r="A6" s="218" t="s">
        <v>20</v>
      </c>
      <c r="B6" s="28" t="s">
        <v>21</v>
      </c>
      <c r="C6" s="30"/>
      <c r="D6" s="39">
        <v>0</v>
      </c>
      <c r="E6" s="52"/>
      <c r="F6" s="30"/>
      <c r="G6" s="39">
        <f>F6/12.5</f>
        <v>0</v>
      </c>
      <c r="H6" s="56"/>
      <c r="I6" s="52"/>
      <c r="J6" s="52"/>
      <c r="K6" s="52"/>
      <c r="L6" s="52"/>
    </row>
    <row r="7" spans="1:12">
      <c r="A7" s="218"/>
      <c r="B7" s="28" t="s">
        <v>22</v>
      </c>
      <c r="C7" s="30">
        <v>912</v>
      </c>
      <c r="D7" s="39">
        <v>70.15384615384616</v>
      </c>
      <c r="E7" s="52"/>
      <c r="F7" s="30">
        <v>912</v>
      </c>
      <c r="G7" s="39">
        <f>F7/12.5</f>
        <v>72.959999999999994</v>
      </c>
      <c r="H7" s="56"/>
      <c r="I7" s="52"/>
      <c r="J7" s="52"/>
      <c r="K7" s="52"/>
      <c r="L7" s="52"/>
    </row>
    <row r="8" spans="1:12">
      <c r="A8" s="218"/>
      <c r="B8" s="28" t="s">
        <v>23</v>
      </c>
      <c r="C8" s="30">
        <v>563</v>
      </c>
      <c r="D8" s="39">
        <v>43.307692307692307</v>
      </c>
      <c r="E8" s="52"/>
      <c r="F8" s="30">
        <v>563</v>
      </c>
      <c r="G8" s="39">
        <f>F8/12.5</f>
        <v>45.04</v>
      </c>
      <c r="H8" s="56"/>
      <c r="I8" s="52"/>
      <c r="J8" s="52"/>
      <c r="K8" s="52"/>
      <c r="L8" s="52"/>
    </row>
    <row r="9" spans="1:12">
      <c r="A9" s="218"/>
      <c r="B9" s="28" t="s">
        <v>24</v>
      </c>
      <c r="C9" s="30">
        <v>1292</v>
      </c>
      <c r="D9" s="39">
        <v>99.384615384615387</v>
      </c>
      <c r="E9" s="52"/>
      <c r="F9" s="30">
        <v>1280</v>
      </c>
      <c r="G9" s="39">
        <f>F9/12.5</f>
        <v>102.4</v>
      </c>
      <c r="H9" s="56"/>
      <c r="I9" s="52"/>
      <c r="J9" s="52"/>
      <c r="K9" s="52"/>
      <c r="L9" s="52"/>
    </row>
    <row r="10" spans="1:12">
      <c r="A10" s="218"/>
      <c r="B10" s="28"/>
      <c r="C10" s="30"/>
      <c r="D10" s="39"/>
      <c r="E10" s="52"/>
      <c r="F10" s="30"/>
      <c r="G10" s="39"/>
      <c r="H10" s="56"/>
      <c r="I10" s="52"/>
      <c r="J10" s="52"/>
      <c r="K10" s="52"/>
      <c r="L10" s="52"/>
    </row>
    <row r="11" spans="1:12">
      <c r="A11" s="218"/>
      <c r="B11" s="28" t="s">
        <v>25</v>
      </c>
      <c r="C11" s="30">
        <v>247</v>
      </c>
      <c r="D11" s="39">
        <v>14.384615384615385</v>
      </c>
      <c r="E11" s="52"/>
      <c r="F11" s="30">
        <v>247</v>
      </c>
      <c r="G11" s="39">
        <f>F11/12.5</f>
        <v>19.760000000000002</v>
      </c>
      <c r="H11" s="56"/>
      <c r="I11" s="52"/>
      <c r="J11" s="52"/>
      <c r="K11" s="52"/>
      <c r="L11" s="52"/>
    </row>
    <row r="12" spans="1:12">
      <c r="A12" s="218"/>
      <c r="B12" s="28" t="s">
        <v>26</v>
      </c>
      <c r="C12" s="30">
        <v>187</v>
      </c>
      <c r="D12" s="39">
        <v>50.769230769230766</v>
      </c>
      <c r="E12" s="52"/>
      <c r="F12" s="30">
        <v>142</v>
      </c>
      <c r="G12" s="39">
        <f>F12/12.5</f>
        <v>11.36</v>
      </c>
      <c r="H12" s="56"/>
      <c r="I12" s="52"/>
      <c r="J12" s="52"/>
      <c r="K12" s="52"/>
      <c r="L12" s="52"/>
    </row>
    <row r="13" spans="1:12">
      <c r="A13" s="218"/>
      <c r="B13" s="28" t="s">
        <v>27</v>
      </c>
      <c r="C13" s="30">
        <v>660</v>
      </c>
      <c r="D13" s="39">
        <v>28.846153846153847</v>
      </c>
      <c r="E13" s="52"/>
      <c r="F13" s="30">
        <v>654</v>
      </c>
      <c r="G13" s="39">
        <f>F13/12.5</f>
        <v>52.32</v>
      </c>
      <c r="H13" s="56"/>
      <c r="I13" s="52"/>
      <c r="J13" s="52"/>
      <c r="K13" s="52"/>
      <c r="L13" s="52"/>
    </row>
    <row r="14" spans="1:12">
      <c r="A14" s="218"/>
      <c r="B14" s="28" t="s">
        <v>28</v>
      </c>
      <c r="C14" s="43">
        <v>375</v>
      </c>
      <c r="D14" s="44"/>
      <c r="E14" s="52"/>
      <c r="F14" s="43">
        <v>4273</v>
      </c>
      <c r="G14" s="39">
        <f>F14/50</f>
        <v>85.46</v>
      </c>
      <c r="H14" s="56"/>
      <c r="I14" s="52"/>
      <c r="J14" s="52"/>
      <c r="K14" s="52"/>
      <c r="L14" s="52"/>
    </row>
    <row r="15" spans="1:12">
      <c r="C15" s="47"/>
      <c r="D15" s="48"/>
      <c r="E15" s="48"/>
      <c r="F15" s="47"/>
      <c r="G15" s="48"/>
      <c r="H15" s="56"/>
      <c r="I15" s="48"/>
      <c r="J15" s="48"/>
      <c r="K15" s="48"/>
      <c r="L15" s="48"/>
    </row>
    <row r="16" spans="1:12">
      <c r="A16" s="219" t="s">
        <v>29</v>
      </c>
      <c r="B16" s="25" t="s">
        <v>30</v>
      </c>
      <c r="C16" s="45">
        <v>7368</v>
      </c>
      <c r="D16" s="46">
        <v>175.42857142857142</v>
      </c>
      <c r="E16" s="53"/>
      <c r="F16" s="45">
        <v>8692</v>
      </c>
      <c r="G16" s="46">
        <f>F16/42</f>
        <v>206.95238095238096</v>
      </c>
      <c r="H16" s="57"/>
      <c r="I16" s="53"/>
      <c r="J16" s="53"/>
      <c r="K16" s="53"/>
      <c r="L16" s="53"/>
    </row>
    <row r="17" spans="1:12">
      <c r="A17" s="219"/>
      <c r="B17" s="25" t="s">
        <v>31</v>
      </c>
      <c r="C17" s="31">
        <v>1594</v>
      </c>
      <c r="D17" s="32">
        <v>37.952380952380949</v>
      </c>
      <c r="E17" s="53"/>
      <c r="F17" s="31">
        <v>1594</v>
      </c>
      <c r="G17" s="32">
        <f>C17/42</f>
        <v>37.952380952380949</v>
      </c>
      <c r="H17" s="57"/>
      <c r="I17" s="53"/>
      <c r="J17" s="53"/>
      <c r="K17" s="53"/>
      <c r="L17" s="53"/>
    </row>
    <row r="18" spans="1:12">
      <c r="A18" s="219"/>
      <c r="B18" s="25" t="s">
        <v>32</v>
      </c>
      <c r="C18" s="31">
        <v>1973</v>
      </c>
      <c r="D18" s="32">
        <v>61.65625</v>
      </c>
      <c r="E18" s="53"/>
      <c r="F18" s="31">
        <v>1953</v>
      </c>
      <c r="G18" s="32">
        <f>F18/32</f>
        <v>61.03125</v>
      </c>
      <c r="H18" s="57"/>
      <c r="I18" s="53"/>
      <c r="J18" s="53"/>
      <c r="K18" s="53"/>
      <c r="L18" s="53"/>
    </row>
    <row r="19" spans="1:12">
      <c r="A19" s="219"/>
      <c r="B19" s="25" t="s">
        <v>33</v>
      </c>
      <c r="C19" s="31">
        <v>7296</v>
      </c>
      <c r="D19" s="32">
        <v>145.91999999999999</v>
      </c>
      <c r="E19" s="53"/>
      <c r="F19" s="31">
        <v>8378</v>
      </c>
      <c r="G19" s="32">
        <f>F19/50</f>
        <v>167.56</v>
      </c>
      <c r="H19" s="57"/>
      <c r="I19" s="53"/>
      <c r="J19" s="53"/>
      <c r="K19" s="53"/>
      <c r="L19" s="53"/>
    </row>
    <row r="20" spans="1:12">
      <c r="C20" s="49"/>
      <c r="D20" s="50"/>
      <c r="E20" s="48"/>
      <c r="F20" s="49"/>
      <c r="G20" s="50"/>
      <c r="H20" s="56"/>
      <c r="I20" s="48"/>
      <c r="J20" s="48"/>
      <c r="K20" s="48"/>
      <c r="L20" s="48"/>
    </row>
    <row r="21" spans="1:12">
      <c r="A21" s="220" t="s">
        <v>34</v>
      </c>
      <c r="B21" s="26" t="s">
        <v>35</v>
      </c>
      <c r="C21" s="33">
        <v>20</v>
      </c>
      <c r="D21" s="34"/>
      <c r="E21" s="48"/>
      <c r="F21" s="222">
        <v>20</v>
      </c>
      <c r="G21" s="223"/>
      <c r="H21" s="56"/>
      <c r="I21" s="48"/>
      <c r="J21" s="48"/>
      <c r="K21" s="48"/>
      <c r="L21" s="48"/>
    </row>
    <row r="22" spans="1:12">
      <c r="A22" s="220"/>
      <c r="B22" s="26" t="s">
        <v>36</v>
      </c>
      <c r="C22" s="33">
        <v>2</v>
      </c>
      <c r="D22" s="34"/>
      <c r="E22" s="48"/>
      <c r="F22" s="222"/>
      <c r="G22" s="223"/>
      <c r="H22" s="56"/>
      <c r="I22" s="48"/>
      <c r="J22" s="48"/>
      <c r="K22" s="48"/>
      <c r="L22" s="48"/>
    </row>
    <row r="23" spans="1:12">
      <c r="A23" s="220"/>
      <c r="B23" s="26" t="s">
        <v>37</v>
      </c>
      <c r="C23" s="33">
        <v>15</v>
      </c>
      <c r="D23" s="34"/>
      <c r="E23" s="48"/>
      <c r="F23" s="222">
        <v>32</v>
      </c>
      <c r="G23" s="223"/>
      <c r="H23" s="56"/>
      <c r="I23" s="48"/>
      <c r="J23" s="48"/>
      <c r="K23" s="48"/>
      <c r="L23" s="48"/>
    </row>
    <row r="24" spans="1:12">
      <c r="A24" s="220"/>
      <c r="B24" s="26" t="s">
        <v>38</v>
      </c>
      <c r="C24" s="33">
        <v>52</v>
      </c>
      <c r="D24" s="34"/>
      <c r="E24" s="48"/>
      <c r="F24" s="222"/>
      <c r="G24" s="223"/>
      <c r="H24" s="56"/>
      <c r="I24" s="48"/>
      <c r="J24" s="48"/>
      <c r="K24" s="48"/>
      <c r="L24" s="48"/>
    </row>
    <row r="25" spans="1:12">
      <c r="A25" s="220"/>
      <c r="B25" s="26" t="s">
        <v>39</v>
      </c>
      <c r="C25" s="33"/>
      <c r="D25" s="34"/>
      <c r="E25" s="48"/>
      <c r="F25" s="222"/>
      <c r="G25" s="223"/>
      <c r="H25" s="56"/>
      <c r="I25" s="48"/>
      <c r="J25" s="48"/>
      <c r="K25" s="48"/>
      <c r="L25" s="48"/>
    </row>
    <row r="26" spans="1:12">
      <c r="A26" s="220"/>
      <c r="B26" s="26" t="s">
        <v>40</v>
      </c>
      <c r="C26" s="33">
        <v>2</v>
      </c>
      <c r="D26" s="34"/>
      <c r="E26" s="48"/>
      <c r="F26" s="222">
        <v>2</v>
      </c>
      <c r="G26" s="223"/>
      <c r="H26" s="56"/>
      <c r="I26" s="48"/>
      <c r="J26" s="48"/>
      <c r="K26" s="48"/>
      <c r="L26" s="48"/>
    </row>
    <row r="27" spans="1:12">
      <c r="C27" s="47"/>
      <c r="D27" s="48"/>
      <c r="E27" s="48"/>
      <c r="F27" s="47"/>
      <c r="G27" s="48"/>
      <c r="H27" s="56"/>
      <c r="I27" s="48"/>
      <c r="J27" s="48"/>
      <c r="K27" s="48"/>
      <c r="L27" s="48"/>
    </row>
    <row r="28" spans="1:12">
      <c r="A28" s="221" t="s">
        <v>41</v>
      </c>
      <c r="B28" s="27" t="s">
        <v>42</v>
      </c>
      <c r="C28" s="35">
        <v>45</v>
      </c>
      <c r="D28" s="36"/>
      <c r="E28" s="48"/>
      <c r="F28" s="224">
        <v>34</v>
      </c>
      <c r="G28" s="225"/>
      <c r="H28" s="56"/>
      <c r="I28" s="48"/>
      <c r="J28" s="48"/>
      <c r="K28" s="48"/>
      <c r="L28" s="48"/>
    </row>
    <row r="29" spans="1:12">
      <c r="A29" s="221"/>
      <c r="B29" s="27" t="s">
        <v>43</v>
      </c>
      <c r="C29" s="35">
        <v>51</v>
      </c>
      <c r="D29" s="36"/>
      <c r="E29" s="48"/>
      <c r="F29" s="224">
        <v>56</v>
      </c>
      <c r="G29" s="225"/>
      <c r="H29" s="56"/>
      <c r="I29" s="48"/>
      <c r="J29" s="48"/>
      <c r="K29" s="48"/>
      <c r="L29" s="48"/>
    </row>
    <row r="30" spans="1:12">
      <c r="A30" s="221"/>
      <c r="B30" s="27" t="s">
        <v>44</v>
      </c>
      <c r="C30" s="35">
        <v>3</v>
      </c>
      <c r="D30" s="36"/>
      <c r="E30" s="48"/>
      <c r="F30" s="224">
        <v>5</v>
      </c>
      <c r="G30" s="225"/>
      <c r="H30" s="56"/>
      <c r="I30" s="48"/>
      <c r="J30" s="48"/>
      <c r="K30" s="48"/>
      <c r="L30" s="48"/>
    </row>
    <row r="31" spans="1:12">
      <c r="A31" s="221"/>
      <c r="B31" s="27"/>
      <c r="C31" s="35"/>
      <c r="D31" s="36"/>
      <c r="E31" s="48"/>
      <c r="F31" s="224"/>
      <c r="G31" s="225"/>
      <c r="H31" s="56"/>
      <c r="I31" s="48"/>
      <c r="J31" s="48"/>
      <c r="K31" s="48"/>
      <c r="L31" s="48"/>
    </row>
    <row r="32" spans="1:12">
      <c r="C32" s="47"/>
      <c r="D32" s="48"/>
      <c r="E32" s="48"/>
      <c r="F32" s="47"/>
      <c r="G32" s="48"/>
      <c r="H32" s="56"/>
      <c r="I32" s="48"/>
      <c r="J32" s="48"/>
      <c r="K32" s="48"/>
      <c r="L32" s="48"/>
    </row>
    <row r="33" spans="1:7">
      <c r="A33" s="217"/>
      <c r="B33" s="29" t="s">
        <v>45</v>
      </c>
      <c r="C33" s="40">
        <v>97</v>
      </c>
      <c r="D33" s="37"/>
      <c r="F33" s="230">
        <v>264</v>
      </c>
      <c r="G33" s="231"/>
    </row>
    <row r="34" spans="1:7">
      <c r="A34" s="217"/>
      <c r="B34" s="29" t="s">
        <v>46</v>
      </c>
      <c r="C34" s="40"/>
      <c r="D34" s="37"/>
      <c r="F34" s="230">
        <v>2</v>
      </c>
      <c r="G34" s="231"/>
    </row>
    <row r="35" spans="1:7">
      <c r="A35" s="217"/>
      <c r="B35" s="29" t="s">
        <v>47</v>
      </c>
      <c r="C35" s="40"/>
      <c r="D35" s="37"/>
      <c r="F35" s="228"/>
      <c r="G35" s="229"/>
    </row>
    <row r="36" spans="1:7">
      <c r="A36" s="217"/>
      <c r="B36" s="29" t="s">
        <v>48</v>
      </c>
      <c r="C36" s="40">
        <v>108</v>
      </c>
      <c r="D36" s="37"/>
      <c r="F36" s="226">
        <v>79</v>
      </c>
      <c r="G36" s="227"/>
    </row>
    <row r="37" spans="1:7">
      <c r="A37" s="217"/>
      <c r="B37" s="29" t="s">
        <v>49</v>
      </c>
      <c r="C37" s="40">
        <v>164</v>
      </c>
      <c r="D37" s="37"/>
      <c r="F37" s="226">
        <v>118</v>
      </c>
      <c r="G37" s="227"/>
    </row>
    <row r="38" spans="1:7" ht="15.75" thickBot="1">
      <c r="A38" s="217"/>
      <c r="B38" s="29" t="s">
        <v>50</v>
      </c>
      <c r="C38" s="41">
        <v>136</v>
      </c>
      <c r="D38" s="38"/>
      <c r="F38" s="228"/>
      <c r="G38" s="229"/>
    </row>
    <row r="39" spans="1:7" ht="15.75" thickTop="1">
      <c r="C39" s="42"/>
    </row>
    <row r="41" spans="1:7">
      <c r="B41" s="29" t="s">
        <v>51</v>
      </c>
    </row>
    <row r="42" spans="1:7">
      <c r="B42" s="25" t="s">
        <v>30</v>
      </c>
    </row>
    <row r="43" spans="1:7">
      <c r="B43" s="25" t="s">
        <v>31</v>
      </c>
    </row>
    <row r="44" spans="1:7">
      <c r="B44" s="25" t="s">
        <v>32</v>
      </c>
    </row>
    <row r="45" spans="1:7">
      <c r="B45" s="25" t="s">
        <v>33</v>
      </c>
    </row>
    <row r="46" spans="1:7">
      <c r="B46" s="26" t="s">
        <v>35</v>
      </c>
    </row>
    <row r="47" spans="1:7">
      <c r="B47" s="26" t="s">
        <v>37</v>
      </c>
    </row>
    <row r="48" spans="1:7">
      <c r="B48" s="26" t="s">
        <v>52</v>
      </c>
    </row>
    <row r="49" spans="2:2">
      <c r="B49" s="26" t="s">
        <v>53</v>
      </c>
    </row>
    <row r="50" spans="2:2">
      <c r="B50" s="26" t="s">
        <v>54</v>
      </c>
    </row>
    <row r="51" spans="2:2">
      <c r="B51" s="26" t="s">
        <v>55</v>
      </c>
    </row>
  </sheetData>
  <mergeCells count="24">
    <mergeCell ref="F37:G37"/>
    <mergeCell ref="F38:G38"/>
    <mergeCell ref="F31:G31"/>
    <mergeCell ref="F33:G33"/>
    <mergeCell ref="F34:G34"/>
    <mergeCell ref="F35:G35"/>
    <mergeCell ref="F36:G36"/>
    <mergeCell ref="F25:G25"/>
    <mergeCell ref="F26:G26"/>
    <mergeCell ref="F28:G28"/>
    <mergeCell ref="F29:G29"/>
    <mergeCell ref="F30:G30"/>
    <mergeCell ref="F5:G5"/>
    <mergeCell ref="F21:G21"/>
    <mergeCell ref="F22:G22"/>
    <mergeCell ref="F23:G23"/>
    <mergeCell ref="F24:G24"/>
    <mergeCell ref="A1:B2"/>
    <mergeCell ref="C5:D5"/>
    <mergeCell ref="A33:A38"/>
    <mergeCell ref="A6:A14"/>
    <mergeCell ref="A16:A19"/>
    <mergeCell ref="A21:A26"/>
    <mergeCell ref="A28:A3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Diário</vt:lpstr>
      <vt:lpstr>Mensal</vt:lpstr>
      <vt:lpstr>Semanal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ALBERTO DE OLIVEIRA SILVA</dc:creator>
  <cp:lastModifiedBy>LUIZ ALBERTO DE OLIVEIRA SILVA</cp:lastModifiedBy>
  <cp:lastPrinted>2024-12-19T19:03:37Z</cp:lastPrinted>
  <dcterms:created xsi:type="dcterms:W3CDTF">2023-10-03T09:57:39Z</dcterms:created>
  <dcterms:modified xsi:type="dcterms:W3CDTF">2025-02-13T10:27:37Z</dcterms:modified>
</cp:coreProperties>
</file>