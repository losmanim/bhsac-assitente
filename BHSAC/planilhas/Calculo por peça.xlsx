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e4d96c5f805718/BH Artefatos/Controles/"/>
    </mc:Choice>
  </mc:AlternateContent>
  <xr:revisionPtr revIDLastSave="7278" documentId="8_{7E4BDB8D-FC48-493E-994C-28BC68CCB07E}" xr6:coauthVersionLast="47" xr6:coauthVersionMax="47" xr10:uidLastSave="{253103E8-E356-4B46-A334-73A8AC561320}"/>
  <bookViews>
    <workbookView xWindow="-120" yWindow="-120" windowWidth="29040" windowHeight="15720" activeTab="6" xr2:uid="{8FF4ACCF-1DD8-4002-B3F7-2EDA850EDA05}"/>
  </bookViews>
  <sheets>
    <sheet name="B.V 19" sheetId="2" r:id="rId1"/>
    <sheet name="B.V 14" sheetId="3" r:id="rId2"/>
    <sheet name="B.V 10" sheetId="10" r:id="rId3"/>
    <sheet name="CHURASQUEIRA 65" sheetId="11" r:id="rId4"/>
    <sheet name="outros" sheetId="7" r:id="rId5"/>
    <sheet name="Manilha" sheetId="6" r:id="rId6"/>
    <sheet name="P. RE 6CM" sheetId="5" r:id="rId7"/>
    <sheet name="P. R prensado 6cm" sheetId="14" r:id="rId8"/>
    <sheet name="P.R prensado 8cm" sheetId="1" r:id="rId9"/>
    <sheet name="B. ES 14" sheetId="8" r:id="rId10"/>
    <sheet name="C. 14" sheetId="4" r:id="rId11"/>
    <sheet name="Planilha1" sheetId="12" r:id="rId12"/>
    <sheet name="Trilho de Laje" sheetId="13" r:id="rId13"/>
    <sheet name="tampa 0,75x0,75" sheetId="9" r:id="rId14"/>
  </sheets>
  <definedNames>
    <definedName name="_xlnm.Print_Area" localSheetId="2">'B.V 10'!$A$1:$I$23</definedName>
    <definedName name="_xlnm.Print_Area" localSheetId="1">'B.V 14'!$A$1:$I$22</definedName>
    <definedName name="_xlnm.Print_Area" localSheetId="6">'P. RE 6CM'!$A$1:$I$28</definedName>
    <definedName name="_xlnm.Print_Area" localSheetId="8">'P.R prensado 8cm'!$A$1:$K$30</definedName>
    <definedName name="_xlnm.Print_Area" localSheetId="11">Planilha1!$A$1:$K$32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3" i="5"/>
  <c r="F6" i="5"/>
  <c r="F20" i="5" l="1"/>
  <c r="H20" i="5" s="1"/>
  <c r="H21" i="5" s="1"/>
  <c r="H24" i="5" s="1"/>
  <c r="H14" i="5"/>
  <c r="C10" i="5"/>
  <c r="C13" i="5"/>
  <c r="C15" i="5"/>
  <c r="C11" i="5"/>
  <c r="C14" i="5"/>
  <c r="C17" i="5"/>
  <c r="H12" i="5"/>
  <c r="E16" i="13"/>
  <c r="M3" i="13"/>
  <c r="R18" i="13"/>
  <c r="Q22" i="13"/>
  <c r="Q23" i="13"/>
  <c r="Q24" i="13"/>
  <c r="N25" i="13"/>
  <c r="L31" i="13"/>
  <c r="L32" i="13" s="1"/>
  <c r="L33" i="13" s="1"/>
  <c r="P31" i="13"/>
  <c r="P32" i="13" s="1"/>
  <c r="P33" i="13"/>
  <c r="S35" i="13"/>
  <c r="G5" i="13"/>
  <c r="C18" i="5" l="1"/>
  <c r="C28" i="5" s="1"/>
  <c r="F7" i="5" s="1"/>
  <c r="G19" i="13"/>
  <c r="I22" i="13"/>
  <c r="G21" i="13"/>
  <c r="H19" i="13"/>
  <c r="I19" i="13" s="1"/>
  <c r="B19" i="13"/>
  <c r="J10" i="13"/>
  <c r="C10" i="13"/>
  <c r="C15" i="13"/>
  <c r="C17" i="13"/>
  <c r="C13" i="13"/>
  <c r="E8" i="2"/>
  <c r="E5" i="13"/>
  <c r="G6" i="13" s="1"/>
  <c r="H15" i="13"/>
  <c r="A21" i="12"/>
  <c r="J25" i="12"/>
  <c r="I18" i="12"/>
  <c r="H30" i="12"/>
  <c r="I32" i="12"/>
  <c r="I19" i="12"/>
  <c r="B31" i="12"/>
  <c r="I14" i="12"/>
  <c r="J18" i="12"/>
  <c r="K18" i="12" s="1"/>
  <c r="J17" i="12"/>
  <c r="K17" i="12" s="1"/>
  <c r="D11" i="5" l="1"/>
  <c r="D12" i="5"/>
  <c r="D13" i="5"/>
  <c r="D14" i="5"/>
  <c r="D15" i="5"/>
  <c r="F15" i="5" s="1"/>
  <c r="H15" i="5" s="1"/>
  <c r="D16" i="5"/>
  <c r="F16" i="5" s="1"/>
  <c r="D17" i="5"/>
  <c r="D10" i="5"/>
  <c r="C18" i="13"/>
  <c r="L18" i="13" s="1"/>
  <c r="D18" i="13"/>
  <c r="E15" i="13"/>
  <c r="G15" i="13" s="1"/>
  <c r="I21" i="13"/>
  <c r="C24" i="13"/>
  <c r="H6" i="12"/>
  <c r="H8" i="12" s="1"/>
  <c r="F13" i="5" l="1"/>
  <c r="F11" i="5"/>
  <c r="H11" i="5" s="1"/>
  <c r="F10" i="5"/>
  <c r="H10" i="5" s="1"/>
  <c r="D18" i="5"/>
  <c r="H16" i="5"/>
  <c r="H13" i="5"/>
  <c r="E9" i="13"/>
  <c r="I15" i="13"/>
  <c r="D13" i="13"/>
  <c r="D10" i="13"/>
  <c r="D15" i="13"/>
  <c r="I14" i="13"/>
  <c r="I11" i="13"/>
  <c r="D16" i="13"/>
  <c r="I12" i="13"/>
  <c r="D20" i="12"/>
  <c r="H16" i="12"/>
  <c r="J16" i="12" s="1"/>
  <c r="K16" i="12" s="1"/>
  <c r="C14" i="12"/>
  <c r="I13" i="12"/>
  <c r="C13" i="12"/>
  <c r="J12" i="12"/>
  <c r="J11" i="12"/>
  <c r="J10" i="12"/>
  <c r="C9" i="12"/>
  <c r="C8" i="12"/>
  <c r="J8" i="12"/>
  <c r="H18" i="5" l="1"/>
  <c r="H23" i="5" s="1"/>
  <c r="G25" i="5" s="1"/>
  <c r="E13" i="13"/>
  <c r="E10" i="13"/>
  <c r="K8" i="12"/>
  <c r="C23" i="12"/>
  <c r="D14" i="12" s="1"/>
  <c r="H13" i="12"/>
  <c r="H9" i="12"/>
  <c r="H14" i="12"/>
  <c r="J14" i="12" s="1"/>
  <c r="K14" i="12" s="1"/>
  <c r="H14" i="8"/>
  <c r="C24" i="8" s="1"/>
  <c r="J19" i="8"/>
  <c r="D20" i="8"/>
  <c r="J17" i="8"/>
  <c r="H26" i="5" l="1"/>
  <c r="K26" i="5" s="1"/>
  <c r="G16" i="13"/>
  <c r="I16" i="13" s="1"/>
  <c r="F16" i="13"/>
  <c r="G10" i="13"/>
  <c r="I10" i="13" s="1"/>
  <c r="F10" i="13"/>
  <c r="G13" i="13"/>
  <c r="I13" i="13" s="1"/>
  <c r="F13" i="13"/>
  <c r="G24" i="13"/>
  <c r="J24" i="13" s="1"/>
  <c r="D10" i="12"/>
  <c r="D12" i="12"/>
  <c r="D8" i="12"/>
  <c r="D13" i="12"/>
  <c r="D9" i="12"/>
  <c r="D11" i="12"/>
  <c r="D24" i="12"/>
  <c r="J13" i="12"/>
  <c r="K13" i="12" s="1"/>
  <c r="J9" i="12"/>
  <c r="H16" i="8"/>
  <c r="J16" i="8" s="1"/>
  <c r="I13" i="8"/>
  <c r="D8" i="10"/>
  <c r="H27" i="5" l="1"/>
  <c r="G28" i="5" s="1"/>
  <c r="I25" i="5" s="1"/>
  <c r="H28" i="12"/>
  <c r="K9" i="12"/>
  <c r="H16" i="10"/>
  <c r="G13" i="10" l="1"/>
  <c r="I13" i="10" s="1"/>
  <c r="D13" i="10"/>
  <c r="D8" i="3"/>
  <c r="D9" i="3"/>
  <c r="D10" i="3"/>
  <c r="D11" i="3"/>
  <c r="D12" i="3"/>
  <c r="D13" i="3"/>
  <c r="D14" i="3"/>
  <c r="C19" i="10"/>
  <c r="D14" i="10"/>
  <c r="D9" i="10"/>
  <c r="D10" i="10"/>
  <c r="D11" i="10"/>
  <c r="D12" i="10"/>
  <c r="C8" i="10"/>
  <c r="C9" i="10"/>
  <c r="C13" i="10"/>
  <c r="C14" i="10"/>
  <c r="I17" i="10"/>
  <c r="I11" i="10"/>
  <c r="G9" i="10"/>
  <c r="I9" i="10" s="1"/>
  <c r="G10" i="10"/>
  <c r="I10" i="10" s="1"/>
  <c r="G11" i="10"/>
  <c r="G12" i="10"/>
  <c r="I12" i="10" s="1"/>
  <c r="G14" i="10"/>
  <c r="I14" i="10" s="1"/>
  <c r="G8" i="10"/>
  <c r="I8" i="10" s="1"/>
  <c r="E5" i="10" l="1"/>
  <c r="C20" i="10" s="1"/>
  <c r="G16" i="10" l="1"/>
  <c r="I16" i="10" s="1"/>
  <c r="G19" i="10" s="1"/>
  <c r="J19" i="10" s="1"/>
  <c r="H13" i="10"/>
  <c r="G13" i="3"/>
  <c r="I13" i="3" s="1"/>
  <c r="I16" i="3"/>
  <c r="G16" i="3"/>
  <c r="C19" i="3"/>
  <c r="I17" i="3"/>
  <c r="H13" i="3"/>
  <c r="M60" i="6" l="1"/>
  <c r="M59" i="6"/>
  <c r="M58" i="6"/>
  <c r="M57" i="6"/>
  <c r="M56" i="6"/>
  <c r="M55" i="6"/>
  <c r="M54" i="6"/>
  <c r="N54" i="6" s="1"/>
  <c r="F56" i="6"/>
  <c r="F55" i="6"/>
  <c r="F62" i="6"/>
  <c r="G61" i="6"/>
  <c r="D61" i="6"/>
  <c r="N62" i="6"/>
  <c r="H55" i="6"/>
  <c r="H56" i="6"/>
  <c r="F54" i="6"/>
  <c r="F59" i="6"/>
  <c r="D58" i="6"/>
  <c r="G58" i="6" s="1"/>
  <c r="D56" i="6"/>
  <c r="G56" i="6" s="1"/>
  <c r="D57" i="6"/>
  <c r="D59" i="6"/>
  <c r="G59" i="6" s="1"/>
  <c r="D60" i="6"/>
  <c r="D55" i="6"/>
  <c r="G55" i="6" s="1"/>
  <c r="H58" i="6"/>
  <c r="B47" i="6"/>
  <c r="D47" i="6" s="1"/>
  <c r="H61" i="6" s="1"/>
  <c r="G62" i="6" l="1"/>
  <c r="N57" i="6"/>
  <c r="E61" i="6"/>
  <c r="F61" i="6"/>
  <c r="N60" i="6"/>
  <c r="N59" i="6"/>
  <c r="N56" i="6"/>
  <c r="N55" i="6"/>
  <c r="N58" i="6"/>
  <c r="M61" i="6" l="1"/>
  <c r="N61" i="6" s="1"/>
  <c r="I71" i="6" s="1"/>
  <c r="K71" i="6" s="1"/>
  <c r="I73" i="6" l="1"/>
  <c r="I75" i="6" l="1"/>
  <c r="K75" i="6" s="1"/>
  <c r="K73" i="6"/>
  <c r="I77" i="6"/>
  <c r="M71" i="6" s="1"/>
  <c r="C44" i="6" l="1"/>
  <c r="C43" i="6"/>
  <c r="H60" i="6"/>
  <c r="H59" i="6"/>
  <c r="H57" i="6"/>
  <c r="H54" i="6"/>
  <c r="H53" i="6"/>
  <c r="H62" i="6" s="1"/>
  <c r="D43" i="6" l="1"/>
  <c r="I44" i="6" l="1"/>
  <c r="J44" i="6" s="1"/>
  <c r="K44" i="6" s="1"/>
  <c r="I45" i="6"/>
  <c r="B16" i="9" l="1"/>
  <c r="D17" i="4" l="1"/>
  <c r="H16" i="4" s="1"/>
  <c r="J16" i="4" s="1"/>
  <c r="D20" i="4"/>
  <c r="J18" i="4" s="1"/>
  <c r="J17" i="4"/>
  <c r="H14" i="4"/>
  <c r="J14" i="4" s="1"/>
  <c r="C14" i="4"/>
  <c r="I13" i="4"/>
  <c r="C13" i="4"/>
  <c r="D13" i="4" s="1"/>
  <c r="J12" i="4"/>
  <c r="J11" i="4"/>
  <c r="J10" i="4"/>
  <c r="C9" i="4"/>
  <c r="D9" i="4" s="1"/>
  <c r="C8" i="4"/>
  <c r="C23" i="4" s="1"/>
  <c r="H6" i="4"/>
  <c r="H9" i="4" s="1"/>
  <c r="J9" i="4" s="1"/>
  <c r="C16" i="9"/>
  <c r="B21" i="9"/>
  <c r="D21" i="9" s="1"/>
  <c r="D38" i="9"/>
  <c r="D39" i="9" s="1"/>
  <c r="H37" i="9"/>
  <c r="E37" i="9"/>
  <c r="D37" i="9"/>
  <c r="E36" i="9"/>
  <c r="D36" i="9"/>
  <c r="B36" i="9"/>
  <c r="B20" i="9"/>
  <c r="E20" i="9" s="1"/>
  <c r="H21" i="9"/>
  <c r="D20" i="9"/>
  <c r="E5" i="9"/>
  <c r="E4" i="9"/>
  <c r="D5" i="9"/>
  <c r="H5" i="9"/>
  <c r="D4" i="9"/>
  <c r="B4" i="9"/>
  <c r="D24" i="4" l="1"/>
  <c r="D12" i="4"/>
  <c r="D14" i="4"/>
  <c r="D11" i="4"/>
  <c r="D10" i="4"/>
  <c r="D8" i="4"/>
  <c r="H8" i="4"/>
  <c r="J8" i="4" s="1"/>
  <c r="H23" i="4" s="1"/>
  <c r="J23" i="4" s="1"/>
  <c r="H13" i="4"/>
  <c r="J13" i="4" s="1"/>
  <c r="E21" i="9"/>
  <c r="D40" i="9"/>
  <c r="D44" i="9" s="1"/>
  <c r="D22" i="9"/>
  <c r="D23" i="9" s="1"/>
  <c r="D6" i="9"/>
  <c r="D7" i="9" s="1"/>
  <c r="D8" i="9" s="1"/>
  <c r="D10" i="9" s="1"/>
  <c r="B14" i="9" s="1"/>
  <c r="D42" i="9" l="1"/>
  <c r="B46" i="9" s="1"/>
  <c r="B48" i="9" s="1"/>
  <c r="D24" i="9"/>
  <c r="D28" i="9" s="1"/>
  <c r="D12" i="9"/>
  <c r="D26" i="9" l="1"/>
  <c r="B30" i="9" s="1"/>
  <c r="B32" i="9" s="1"/>
  <c r="J18" i="8"/>
  <c r="C14" i="8"/>
  <c r="C13" i="8"/>
  <c r="C9" i="8"/>
  <c r="C8" i="8"/>
  <c r="C23" i="8" s="1"/>
  <c r="K9" i="1"/>
  <c r="J9" i="1" s="1"/>
  <c r="K20" i="1" s="1"/>
  <c r="F12" i="1"/>
  <c r="J19" i="1"/>
  <c r="K19" i="1" s="1"/>
  <c r="J18" i="1"/>
  <c r="K18" i="1" s="1"/>
  <c r="J14" i="1"/>
  <c r="J13" i="1"/>
  <c r="K13" i="1" s="1"/>
  <c r="D24" i="1"/>
  <c r="J20" i="1"/>
  <c r="E19" i="1"/>
  <c r="S9" i="1"/>
  <c r="D13" i="1"/>
  <c r="D14" i="1"/>
  <c r="D18" i="1"/>
  <c r="D19" i="1"/>
  <c r="S1" i="1"/>
  <c r="E13" i="1"/>
  <c r="E18" i="1"/>
  <c r="R6" i="1"/>
  <c r="S6" i="1" s="1"/>
  <c r="D20" i="1" l="1"/>
  <c r="D33" i="1"/>
  <c r="D8" i="8" l="1"/>
  <c r="D13" i="8"/>
  <c r="D14" i="8"/>
  <c r="D10" i="8"/>
  <c r="J10" i="8" s="1"/>
  <c r="D11" i="8"/>
  <c r="J11" i="8" s="1"/>
  <c r="D12" i="8"/>
  <c r="J12" i="8" s="1"/>
  <c r="D9" i="8"/>
  <c r="J10" i="1"/>
  <c r="I27" i="1"/>
  <c r="K14" i="1" l="1"/>
  <c r="D5" i="1"/>
  <c r="S13" i="1"/>
  <c r="S5" i="1"/>
  <c r="E17" i="1" s="1"/>
  <c r="S4" i="1"/>
  <c r="E16" i="1" s="1"/>
  <c r="S3" i="1"/>
  <c r="E15" i="1" s="1"/>
  <c r="S2" i="1"/>
  <c r="E14" i="1" s="1"/>
  <c r="E20" i="1" s="1"/>
  <c r="J17" i="1" l="1"/>
  <c r="J16" i="1"/>
  <c r="J15" i="1"/>
  <c r="B9" i="1" l="1"/>
  <c r="J13" i="6"/>
  <c r="C13" i="6"/>
  <c r="I16" i="7"/>
  <c r="I14" i="7"/>
  <c r="I12" i="7"/>
  <c r="I8" i="7"/>
  <c r="G8" i="7"/>
  <c r="G12" i="7"/>
  <c r="G14" i="7"/>
  <c r="J5" i="7"/>
  <c r="D14" i="7"/>
  <c r="D12" i="7"/>
  <c r="D8" i="7"/>
  <c r="E8" i="7"/>
  <c r="E12" i="7"/>
  <c r="E14" i="7"/>
  <c r="E5" i="7"/>
  <c r="I17" i="7"/>
  <c r="H13" i="7"/>
  <c r="C20" i="6"/>
  <c r="I13" i="6" s="1"/>
  <c r="C11" i="6"/>
  <c r="C10" i="6"/>
  <c r="C12" i="6"/>
  <c r="C9" i="6"/>
  <c r="I17" i="2"/>
  <c r="G16" i="2"/>
  <c r="I16" i="2" s="1"/>
  <c r="C14" i="2"/>
  <c r="H13" i="2"/>
  <c r="G13" i="2"/>
  <c r="I13" i="2" s="1"/>
  <c r="C13" i="2"/>
  <c r="C9" i="2"/>
  <c r="C8" i="2"/>
  <c r="K17" i="6"/>
  <c r="I16" i="6"/>
  <c r="K16" i="6" s="1"/>
  <c r="C14" i="6"/>
  <c r="C8" i="6"/>
  <c r="C9" i="3"/>
  <c r="C8" i="3"/>
  <c r="C14" i="3"/>
  <c r="C13" i="3"/>
  <c r="I13" i="7" l="1"/>
  <c r="C19" i="7"/>
  <c r="C19" i="2"/>
  <c r="D8" i="2" s="1"/>
  <c r="K13" i="6"/>
  <c r="C19" i="6"/>
  <c r="F5" i="6" s="1"/>
  <c r="I11" i="7" l="1"/>
  <c r="I10" i="7"/>
  <c r="I9" i="7"/>
  <c r="D12" i="2"/>
  <c r="E5" i="2"/>
  <c r="D10" i="2"/>
  <c r="D9" i="2"/>
  <c r="D13" i="2"/>
  <c r="D11" i="2"/>
  <c r="D14" i="2"/>
  <c r="E11" i="6"/>
  <c r="E13" i="6"/>
  <c r="E10" i="6"/>
  <c r="E12" i="6"/>
  <c r="E14" i="6"/>
  <c r="E9" i="6"/>
  <c r="E8" i="6"/>
  <c r="E5" i="3"/>
  <c r="E15" i="7" l="1"/>
  <c r="F15" i="7" s="1"/>
  <c r="G19" i="7"/>
  <c r="J19" i="7" s="1"/>
  <c r="E13" i="3"/>
  <c r="E12" i="2"/>
  <c r="G12" i="2" s="1"/>
  <c r="I12" i="2" s="1"/>
  <c r="E13" i="2"/>
  <c r="G8" i="2"/>
  <c r="I8" i="2" s="1"/>
  <c r="E11" i="2"/>
  <c r="G11" i="2" s="1"/>
  <c r="I11" i="2" s="1"/>
  <c r="E14" i="2"/>
  <c r="G14" i="2" s="1"/>
  <c r="I14" i="2" s="1"/>
  <c r="E9" i="2"/>
  <c r="G9" i="2" s="1"/>
  <c r="I9" i="2" s="1"/>
  <c r="E10" i="2"/>
  <c r="G10" i="2" s="1"/>
  <c r="I10" i="2" s="1"/>
  <c r="O18" i="6"/>
  <c r="F8" i="6"/>
  <c r="I8" i="6" s="1"/>
  <c r="K8" i="6" s="1"/>
  <c r="F11" i="6"/>
  <c r="I11" i="6" s="1"/>
  <c r="K11" i="6" s="1"/>
  <c r="F13" i="6"/>
  <c r="F14" i="6"/>
  <c r="I14" i="6" s="1"/>
  <c r="K14" i="6" s="1"/>
  <c r="F10" i="6"/>
  <c r="I10" i="6" s="1"/>
  <c r="K10" i="6" s="1"/>
  <c r="F9" i="6"/>
  <c r="I9" i="6" s="1"/>
  <c r="K9" i="6" s="1"/>
  <c r="F12" i="6"/>
  <c r="I12" i="6" s="1"/>
  <c r="K12" i="6" s="1"/>
  <c r="E14" i="3"/>
  <c r="G14" i="3" s="1"/>
  <c r="E12" i="3"/>
  <c r="E8" i="3"/>
  <c r="E9" i="3"/>
  <c r="G9" i="3" s="1"/>
  <c r="E10" i="3"/>
  <c r="E11" i="3"/>
  <c r="G8" i="3" l="1"/>
  <c r="I8" i="3" s="1"/>
  <c r="G19" i="2"/>
  <c r="J19" i="2" s="1"/>
  <c r="I19" i="6"/>
  <c r="L19" i="6" s="1"/>
  <c r="I14" i="3" l="1"/>
  <c r="G12" i="3"/>
  <c r="I12" i="3" s="1"/>
  <c r="G11" i="3"/>
  <c r="I11" i="3" s="1"/>
  <c r="G10" i="3"/>
  <c r="I10" i="3" s="1"/>
  <c r="I9" i="3"/>
  <c r="G19" i="3" s="1"/>
  <c r="J21" i="1" l="1"/>
  <c r="K21" i="1" s="1"/>
  <c r="K22" i="1" s="1"/>
  <c r="D30" i="1"/>
  <c r="E30" i="1" s="1"/>
  <c r="E5" i="1" l="1"/>
  <c r="F5" i="1" s="1"/>
  <c r="L9" i="1"/>
  <c r="G23" i="10" l="1"/>
  <c r="H8" i="8"/>
  <c r="J8" i="8" s="1"/>
  <c r="H9" i="8"/>
  <c r="J9" i="8" s="1"/>
  <c r="H13" i="8"/>
  <c r="J13" i="8" s="1"/>
  <c r="D24" i="8"/>
  <c r="J14" i="8"/>
  <c r="H23" i="8" l="1"/>
  <c r="J23" i="8" s="1"/>
  <c r="C31" i="12" l="1"/>
  <c r="J19" i="12" s="1"/>
  <c r="K19" i="12" s="1"/>
  <c r="J21" i="12" s="1"/>
  <c r="J23" i="12" l="1"/>
  <c r="J28" i="12"/>
</calcChain>
</file>

<file path=xl/sharedStrings.xml><?xml version="1.0" encoding="utf-8"?>
<sst xmlns="http://schemas.openxmlformats.org/spreadsheetml/2006/main" count="366" uniqueCount="106">
  <si>
    <t>VLR VENDA</t>
  </si>
  <si>
    <t>CUSTO POR PEÇA</t>
  </si>
  <si>
    <t>IMPOSTO</t>
  </si>
  <si>
    <t>DIAS</t>
  </si>
  <si>
    <t>CIMENTO</t>
  </si>
  <si>
    <t>ADITIVO</t>
  </si>
  <si>
    <t>BRITA Nº1</t>
  </si>
  <si>
    <t>BRITA Nº0</t>
  </si>
  <si>
    <t>PÓ DE BRITA</t>
  </si>
  <si>
    <t>PEDRISCO</t>
  </si>
  <si>
    <t>AREIA</t>
  </si>
  <si>
    <t>m³</t>
  </si>
  <si>
    <t>Quant.</t>
  </si>
  <si>
    <t>B.V  19</t>
  </si>
  <si>
    <t>MANILHA</t>
  </si>
  <si>
    <t>B.V  14</t>
  </si>
  <si>
    <t>,</t>
  </si>
  <si>
    <t>M³ POR TRAÇO</t>
  </si>
  <si>
    <t xml:space="preserve">QUANTIDADE DE PÇ </t>
  </si>
  <si>
    <t>TRAÇO</t>
  </si>
  <si>
    <t>DIÁRIAS</t>
  </si>
  <si>
    <t>PRODUÇÃO DIA</t>
  </si>
  <si>
    <t xml:space="preserve">QUANTIDADE </t>
  </si>
  <si>
    <t>PEÇA</t>
  </si>
  <si>
    <t>TAMPA 1,5X0,60 mt</t>
  </si>
  <si>
    <t>P. R. 8 CM</t>
  </si>
  <si>
    <t>traço</t>
  </si>
  <si>
    <t>DIÁRIA</t>
  </si>
  <si>
    <t>ENERGIA</t>
  </si>
  <si>
    <t>ÁGUA</t>
  </si>
  <si>
    <t>MÁQUINA</t>
  </si>
  <si>
    <t>MÃO DE OBRA + BDI</t>
  </si>
  <si>
    <t>BDI</t>
  </si>
  <si>
    <t>1 m³</t>
  </si>
  <si>
    <t>apenas uma pç</t>
  </si>
  <si>
    <t>CUSTO POR TRAÇO</t>
  </si>
  <si>
    <t>PÇ</t>
  </si>
  <si>
    <t>MO</t>
  </si>
  <si>
    <t>vlr por und</t>
  </si>
  <si>
    <t>vlr por mt²</t>
  </si>
  <si>
    <t>QUANTIDADE EM DIAS PARA FABRICAR</t>
  </si>
  <si>
    <t>TRANSPORTE</t>
  </si>
  <si>
    <t>KM</t>
  </si>
  <si>
    <t>DIESEL</t>
  </si>
  <si>
    <t>MÉDIA</t>
  </si>
  <si>
    <t>TRANSP</t>
  </si>
  <si>
    <t>BLOCO EXTRUTURAL  DE   14X19X39</t>
  </si>
  <si>
    <t xml:space="preserve">concreto </t>
  </si>
  <si>
    <t>vlr m³</t>
  </si>
  <si>
    <t xml:space="preserve">ferragem </t>
  </si>
  <si>
    <t>vlr barra</t>
  </si>
  <si>
    <t>tampa 0,75x0,75x0,05</t>
  </si>
  <si>
    <t>total de pç</t>
  </si>
  <si>
    <t>vlr unitário</t>
  </si>
  <si>
    <t xml:space="preserve">vlr total </t>
  </si>
  <si>
    <t>tampa 0,68x0,68x0,10</t>
  </si>
  <si>
    <t>CANALETA DE   14X19X39</t>
  </si>
  <si>
    <t>DESCRIÇÃO</t>
  </si>
  <si>
    <t>TRÇ</t>
  </si>
  <si>
    <t>VLR M³</t>
  </si>
  <si>
    <t>PESO</t>
  </si>
  <si>
    <t>QUANT. PÇ/TRÇ</t>
  </si>
  <si>
    <t>M³</t>
  </si>
  <si>
    <t>QUANT</t>
  </si>
  <si>
    <t>VLR P/M³</t>
  </si>
  <si>
    <t>QUANTIDADE DE PÇ</t>
  </si>
  <si>
    <t>VLR POR METRO QUADRADO</t>
  </si>
  <si>
    <t>CUSTO TOTAL</t>
  </si>
  <si>
    <t>TRÇ 20 X 1sc</t>
  </si>
  <si>
    <t>LT</t>
  </si>
  <si>
    <t>AREIA LAVADA</t>
  </si>
  <si>
    <t xml:space="preserve">LT </t>
  </si>
  <si>
    <t>PÓ DE PEDRA</t>
  </si>
  <si>
    <t>SC</t>
  </si>
  <si>
    <t>medida (v=pi*(r²ext-r²int)*h)</t>
  </si>
  <si>
    <t>Diam. Externo</t>
  </si>
  <si>
    <t>Diam. Interno</t>
  </si>
  <si>
    <t>Altura</t>
  </si>
  <si>
    <t>Expessura</t>
  </si>
  <si>
    <t xml:space="preserve">Ferragem </t>
  </si>
  <si>
    <t>VLR/ LT</t>
  </si>
  <si>
    <t>FERRAGEM</t>
  </si>
  <si>
    <t>trç</t>
  </si>
  <si>
    <t>B.V  10</t>
  </si>
  <si>
    <t>CUSTO</t>
  </si>
  <si>
    <t xml:space="preserve">PAVER DE 8 CM </t>
  </si>
  <si>
    <t>VLR P/ M²</t>
  </si>
  <si>
    <t>TRILHO DE LAJE</t>
  </si>
  <si>
    <t>LARGURA</t>
  </si>
  <si>
    <t xml:space="preserve">ESPESSURA </t>
  </si>
  <si>
    <t xml:space="preserve">FORMA </t>
  </si>
  <si>
    <t>TAMANHO</t>
  </si>
  <si>
    <t xml:space="preserve">lata </t>
  </si>
  <si>
    <t>cimento de 40kg</t>
  </si>
  <si>
    <t>TRELIÇA H8</t>
  </si>
  <si>
    <t>COMPRIMENTO</t>
  </si>
  <si>
    <t>P. RET 6CM</t>
  </si>
  <si>
    <t>1 TRAÇO</t>
  </si>
  <si>
    <t>1 - TRAÇO</t>
  </si>
  <si>
    <t>%</t>
  </si>
  <si>
    <t>VLR P/ TRÇ</t>
  </si>
  <si>
    <t>MÃO DE OBRA</t>
  </si>
  <si>
    <t>MATERIAL</t>
  </si>
  <si>
    <t xml:space="preserve">CALCULO </t>
  </si>
  <si>
    <t>CUSTO MATERIAL</t>
  </si>
  <si>
    <t>CUSTO MÃO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</si>
</sst>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7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General\ &quot;mt³&quot;"/>
    <numFmt numFmtId="166" formatCode="0\ &quot;dias&quot;"/>
    <numFmt numFmtId="167" formatCode="0.&quot;sc&quot;"/>
    <numFmt numFmtId="168" formatCode="General\ &quot;lt&quot;"/>
    <numFmt numFmtId="169" formatCode="0\ &quot;sc³&quot;"/>
    <numFmt numFmtId="170" formatCode="0.00\ &quot;L&quot;"/>
    <numFmt numFmtId="171" formatCode="0.00\ &quot;mt³&quot;"/>
    <numFmt numFmtId="172" formatCode="General\ &quot;sc&quot;"/>
    <numFmt numFmtId="173" formatCode="#,##0.00_ ;\-#,##0.00\ "/>
    <numFmt numFmtId="174" formatCode="General\ &quot;trç&quot;"/>
    <numFmt numFmtId="175" formatCode="0\ &quot;diária&quot;"/>
    <numFmt numFmtId="176" formatCode="0.0\ &quot;sc³&quot;"/>
    <numFmt numFmtId="177" formatCode="_-&quot;R$&quot;\ * #,##0.00000000_-;\-&quot;R$&quot;\ * #,##0.00000000_-;_-&quot;R$&quot;\ * &quot;-&quot;??_-;_-@_-"/>
    <numFmt numFmtId="178" formatCode="General\ &quot;m³&quot;"/>
    <numFmt numFmtId="179" formatCode="0.00\ &quot;ml&quot;"/>
    <numFmt numFmtId="180" formatCode="0.000\ &quot;m³&quot;"/>
    <numFmt numFmtId="181" formatCode="General\ &quot;und&quot;"/>
    <numFmt numFmtId="182" formatCode="0.00000\ &quot;m³&quot;"/>
    <numFmt numFmtId="183" formatCode="General\ &quot;dia&quot;"/>
    <numFmt numFmtId="184" formatCode="&quot;R$&quot;\ #,##0.00"/>
    <numFmt numFmtId="185" formatCode="0.&quot;und&quot;"/>
    <numFmt numFmtId="186" formatCode="0&quot;und&quot;"/>
    <numFmt numFmtId="187" formatCode="0.0"/>
    <numFmt numFmtId="188" formatCode="0.00\ &quot;lt&quot;"/>
    <numFmt numFmtId="189" formatCode="#,##0\ &quot;trç&quot;"/>
    <numFmt numFmtId="190" formatCode="0\ &quot;ml&quot;"/>
    <numFmt numFmtId="191" formatCode="#,##0\ &quot;und&quot;"/>
    <numFmt numFmtId="192" formatCode="General\ &quot;diária&quot;"/>
    <numFmt numFmtId="193" formatCode="0.00\ &quot;LT&quot;"/>
    <numFmt numFmtId="194" formatCode="#,##0\ &quot;m²&quot;"/>
    <numFmt numFmtId="195" formatCode="General\ &quot;DIAS&quot;"/>
    <numFmt numFmtId="196" formatCode="0\ &quot;m³&quot;"/>
    <numFmt numFmtId="197" formatCode="#,##0\ &quot;Litro&quot;"/>
    <numFmt numFmtId="198" formatCode="#,##0.00\ &quot;DIAS&quot;"/>
    <numFmt numFmtId="199" formatCode="_-&quot;R$&quot;\ * #,##0.0000_-;\-&quot;R$&quot;\ * #,##0.0000_-;_-&quot;R$&quot;\ * &quot;-&quot;??_-;_-@_-"/>
    <numFmt numFmtId="200" formatCode="General\ &quot;ml&quot;"/>
    <numFmt numFmtId="201" formatCode="General\ &quot;kg&quot;"/>
    <numFmt numFmtId="202" formatCode="General\ &quot;KM&quot;"/>
    <numFmt numFmtId="203" formatCode="0\ &quot;und&quot;"/>
    <numFmt numFmtId="204" formatCode="General\ &quot;mt&quot;"/>
    <numFmt numFmtId="205" formatCode="General\ &quot;barra&quot;"/>
    <numFmt numFmtId="206" formatCode="_-* #,##0.0000_-;\-* #,##0.0000_-;_-* &quot;-&quot;??_-;_-@_-"/>
    <numFmt numFmtId="207" formatCode="General\ &quot;pç&quot;"/>
    <numFmt numFmtId="208" formatCode="0.00\ &quot;kg&quot;"/>
    <numFmt numFmtId="209" formatCode="0.0000\ &quot;m³&quot;"/>
    <numFmt numFmtId="210" formatCode="0.00\ &quot;m&quot;"/>
    <numFmt numFmtId="211" formatCode="0.00\ &quot;pç&quot;"/>
    <numFmt numFmtId="212" formatCode="0\ &quot;kg&quot;"/>
    <numFmt numFmtId="213" formatCode="General\ &quot;l&quot;"/>
    <numFmt numFmtId="214" formatCode="#,##0\ &quot;lt&quot;"/>
    <numFmt numFmtId="215" formatCode="#,##0\ &quot;sc&quot;"/>
    <numFmt numFmtId="216" formatCode="#,##0_ ;\-#,##0\ "/>
    <numFmt numFmtId="217" formatCode="#,##0.00_ ;\-#,##0.00\ &quot;m&quot;"/>
    <numFmt numFmtId="218" formatCode="#,##0\ &quot;m&quot;"/>
    <numFmt numFmtId="219" formatCode="General\ &quot;Lata&quot;"/>
    <numFmt numFmtId="220" formatCode="General\ &quot;L&quot;"/>
    <numFmt numFmtId="221" formatCode="General\ &quot;cm&quot;"/>
    <numFmt numFmtId="222" formatCode="0.00\ &quot;cm&quot;"/>
    <numFmt numFmtId="223" formatCode="General\ &quot;lata&quot;"/>
    <numFmt numFmtId="224" formatCode="####.00\ &quot;mt&quot;"/>
    <numFmt numFmtId="225" formatCode="0.00\ &quot;mt&quot;"/>
    <numFmt numFmtId="226" formatCode="####.00\ &quot;ml&quot;"/>
    <numFmt numFmtId="227" formatCode="0\ &quot;diarias&quot;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FFFF00"/>
      <name val="Calibri"/>
      <family val="2"/>
    </font>
    <font>
      <sz val="10"/>
      <color theme="0" tint="-0.499984740745262"/>
      <name val="Calibri"/>
      <family val="2"/>
    </font>
    <font>
      <b/>
      <sz val="10"/>
      <color theme="1" tint="4.9989318521683403E-2"/>
      <name val="Calibri"/>
      <family val="2"/>
    </font>
    <font>
      <sz val="10"/>
      <color theme="0" tint="-0.249977111117893"/>
      <name val="Calibri"/>
      <family val="2"/>
    </font>
    <font>
      <sz val="10"/>
      <color theme="1" tint="4.9989318521683403E-2"/>
      <name val="Calibri"/>
      <family val="2"/>
    </font>
    <font>
      <b/>
      <sz val="11"/>
      <color theme="1"/>
      <name val="Calibri"/>
      <family val="2"/>
    </font>
    <font>
      <sz val="11"/>
      <color theme="0" tint="-0.249977111117893"/>
      <name val="Calibri"/>
      <family val="2"/>
    </font>
    <font>
      <sz val="10"/>
      <color theme="0" tint="-0.34998626667073579"/>
      <name val="Calibri"/>
      <family val="2"/>
    </font>
    <font>
      <sz val="11"/>
      <color theme="0" tint="-0.499984740745262"/>
      <name val="Calibri"/>
      <family val="2"/>
    </font>
    <font>
      <b/>
      <sz val="14"/>
      <color theme="1" tint="4.9989318521683403E-2"/>
      <name val="Calibri"/>
      <family val="2"/>
    </font>
    <font>
      <sz val="11"/>
      <color theme="0"/>
      <name val="Calibri"/>
      <family val="2"/>
    </font>
    <font>
      <sz val="11"/>
      <color theme="1" tint="4.9989318521683403E-2"/>
      <name val="Calibri"/>
      <family val="2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1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 tint="0.49998474074526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20"/>
      <color theme="1"/>
      <name val="Arial"/>
      <family val="2"/>
    </font>
    <font>
      <b/>
      <sz val="12"/>
      <color theme="0" tint="-0.499984740745262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Dot">
        <color theme="0" tint="-0.499984740745262"/>
      </left>
      <right style="dashDot">
        <color theme="0" tint="-0.499984740745262"/>
      </right>
      <top style="dashDot">
        <color theme="0" tint="-0.499984740745262"/>
      </top>
      <bottom style="dashDot">
        <color theme="0" tint="-0.499984740745262"/>
      </bottom>
      <diagonal/>
    </border>
    <border>
      <left style="medium">
        <color indexed="64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medium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indexed="64"/>
      </left>
      <right/>
      <top style="dashed">
        <color theme="0" tint="-0.499984740745262"/>
      </top>
      <bottom style="medium">
        <color indexed="64"/>
      </bottom>
      <diagonal/>
    </border>
    <border>
      <left/>
      <right/>
      <top style="dashed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dashed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2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10" fontId="2" fillId="0" borderId="0" xfId="0" applyNumberFormat="1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9" fontId="2" fillId="0" borderId="0" xfId="0" applyNumberFormat="1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165" fontId="2" fillId="0" borderId="0" xfId="0" applyNumberFormat="1" applyFont="1" applyAlignment="1" applyProtection="1">
      <alignment horizontal="center" vertical="center"/>
      <protection hidden="1"/>
    </xf>
    <xf numFmtId="44" fontId="2" fillId="0" borderId="7" xfId="0" applyNumberFormat="1" applyFont="1" applyBorder="1" applyAlignment="1" applyProtection="1">
      <alignment horizontal="center"/>
      <protection hidden="1"/>
    </xf>
    <xf numFmtId="10" fontId="6" fillId="3" borderId="0" xfId="2" applyNumberFormat="1" applyFont="1" applyFill="1" applyBorder="1" applyAlignment="1" applyProtection="1">
      <alignment horizontal="center" vertical="center"/>
      <protection locked="0" hidden="1"/>
    </xf>
    <xf numFmtId="44" fontId="6" fillId="3" borderId="0" xfId="1" applyFont="1" applyFill="1" applyBorder="1" applyAlignment="1" applyProtection="1">
      <alignment horizontal="center" vertical="center"/>
      <protection locked="0" hidden="1"/>
    </xf>
    <xf numFmtId="168" fontId="7" fillId="5" borderId="18" xfId="0" applyNumberFormat="1" applyFont="1" applyFill="1" applyBorder="1" applyAlignment="1" applyProtection="1">
      <alignment horizontal="center" vertical="center" shrinkToFit="1"/>
      <protection hidden="1"/>
    </xf>
    <xf numFmtId="10" fontId="2" fillId="0" borderId="0" xfId="2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173" fontId="2" fillId="0" borderId="0" xfId="1" applyNumberFormat="1" applyFont="1" applyBorder="1" applyAlignment="1" applyProtection="1">
      <alignment horizontal="center" vertical="center"/>
      <protection hidden="1"/>
    </xf>
    <xf numFmtId="0" fontId="0" fillId="5" borderId="0" xfId="0" applyFill="1" applyProtection="1"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16" fontId="2" fillId="5" borderId="7" xfId="0" applyNumberFormat="1" applyFont="1" applyFill="1" applyBorder="1" applyAlignment="1" applyProtection="1">
      <alignment horizontal="center" vertical="center"/>
      <protection hidden="1"/>
    </xf>
    <xf numFmtId="16" fontId="2" fillId="5" borderId="0" xfId="0" applyNumberFormat="1" applyFont="1" applyFill="1" applyAlignment="1" applyProtection="1">
      <alignment horizontal="center" vertical="center"/>
      <protection hidden="1"/>
    </xf>
    <xf numFmtId="16" fontId="2" fillId="5" borderId="8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166" fontId="2" fillId="5" borderId="0" xfId="0" applyNumberFormat="1" applyFont="1" applyFill="1" applyAlignment="1" applyProtection="1">
      <alignment horizontal="center" vertical="center"/>
      <protection hidden="1"/>
    </xf>
    <xf numFmtId="178" fontId="2" fillId="0" borderId="10" xfId="0" applyNumberFormat="1" applyFont="1" applyBorder="1" applyAlignment="1" applyProtection="1">
      <alignment horizontal="center" vertical="center"/>
      <protection hidden="1"/>
    </xf>
    <xf numFmtId="181" fontId="2" fillId="0" borderId="0" xfId="0" applyNumberFormat="1" applyFont="1" applyAlignment="1" applyProtection="1">
      <alignment horizontal="center"/>
      <protection hidden="1"/>
    </xf>
    <xf numFmtId="168" fontId="2" fillId="0" borderId="0" xfId="0" applyNumberFormat="1" applyFont="1" applyAlignment="1" applyProtection="1">
      <alignment horizontal="center"/>
      <protection hidden="1"/>
    </xf>
    <xf numFmtId="168" fontId="7" fillId="5" borderId="0" xfId="0" applyNumberFormat="1" applyFont="1" applyFill="1" applyAlignment="1" applyProtection="1">
      <alignment horizontal="center" vertical="center"/>
      <protection hidden="1"/>
    </xf>
    <xf numFmtId="181" fontId="8" fillId="6" borderId="10" xfId="0" applyNumberFormat="1" applyFont="1" applyFill="1" applyBorder="1" applyAlignment="1" applyProtection="1">
      <alignment horizontal="center" vertical="center"/>
      <protection hidden="1"/>
    </xf>
    <xf numFmtId="168" fontId="2" fillId="4" borderId="28" xfId="0" applyNumberFormat="1" applyFont="1" applyFill="1" applyBorder="1" applyAlignment="1" applyProtection="1">
      <alignment horizontal="left" vertical="center" shrinkToFit="1"/>
      <protection hidden="1"/>
    </xf>
    <xf numFmtId="168" fontId="6" fillId="6" borderId="29" xfId="0" applyNumberFormat="1" applyFont="1" applyFill="1" applyBorder="1" applyAlignment="1" applyProtection="1">
      <alignment horizontal="center" vertical="center" shrinkToFit="1"/>
      <protection hidden="1"/>
    </xf>
    <xf numFmtId="178" fontId="2" fillId="4" borderId="30" xfId="0" applyNumberFormat="1" applyFont="1" applyFill="1" applyBorder="1" applyAlignment="1" applyProtection="1">
      <alignment horizontal="center" vertical="center" shrinkToFit="1"/>
      <protection hidden="1"/>
    </xf>
    <xf numFmtId="168" fontId="2" fillId="4" borderId="30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28" xfId="0" applyFont="1" applyFill="1" applyBorder="1" applyAlignment="1" applyProtection="1">
      <alignment horizontal="left" vertical="center" shrinkToFit="1"/>
      <protection hidden="1"/>
    </xf>
    <xf numFmtId="179" fontId="6" fillId="6" borderId="29" xfId="0" applyNumberFormat="1" applyFont="1" applyFill="1" applyBorder="1" applyAlignment="1" applyProtection="1">
      <alignment horizontal="center" vertical="center" shrinkToFit="1"/>
      <protection hidden="1"/>
    </xf>
    <xf numFmtId="171" fontId="2" fillId="5" borderId="8" xfId="0" applyNumberFormat="1" applyFont="1" applyFill="1" applyBorder="1" applyAlignment="1" applyProtection="1">
      <alignment horizontal="center" vertical="center"/>
      <protection hidden="1"/>
    </xf>
    <xf numFmtId="170" fontId="2" fillId="5" borderId="8" xfId="0" applyNumberFormat="1" applyFont="1" applyFill="1" applyBorder="1" applyAlignment="1" applyProtection="1">
      <alignment horizontal="center" vertical="center"/>
      <protection hidden="1"/>
    </xf>
    <xf numFmtId="166" fontId="2" fillId="5" borderId="2" xfId="0" applyNumberFormat="1" applyFont="1" applyFill="1" applyBorder="1" applyAlignment="1" applyProtection="1">
      <alignment horizontal="center" vertical="center"/>
      <protection hidden="1"/>
    </xf>
    <xf numFmtId="10" fontId="6" fillId="3" borderId="6" xfId="2" applyNumberFormat="1" applyFont="1" applyFill="1" applyBorder="1" applyAlignment="1" applyProtection="1">
      <alignment horizontal="center" vertical="center"/>
      <protection locked="0" hidden="1"/>
    </xf>
    <xf numFmtId="44" fontId="2" fillId="0" borderId="1" xfId="0" applyNumberFormat="1" applyFont="1" applyBorder="1" applyAlignment="1" applyProtection="1">
      <alignment horizontal="center"/>
      <protection hidden="1"/>
    </xf>
    <xf numFmtId="168" fontId="7" fillId="4" borderId="28" xfId="0" applyNumberFormat="1" applyFont="1" applyFill="1" applyBorder="1" applyAlignment="1" applyProtection="1">
      <alignment horizontal="left" vertical="center" shrinkToFit="1"/>
      <protection hidden="1"/>
    </xf>
    <xf numFmtId="168" fontId="8" fillId="6" borderId="29" xfId="0" applyNumberFormat="1" applyFont="1" applyFill="1" applyBorder="1" applyAlignment="1" applyProtection="1">
      <alignment horizontal="center" vertical="center" shrinkToFit="1"/>
      <protection hidden="1"/>
    </xf>
    <xf numFmtId="178" fontId="7" fillId="4" borderId="30" xfId="0" applyNumberFormat="1" applyFont="1" applyFill="1" applyBorder="1" applyAlignment="1" applyProtection="1">
      <alignment horizontal="center" vertical="center" shrinkToFit="1"/>
      <protection hidden="1"/>
    </xf>
    <xf numFmtId="10" fontId="7" fillId="0" borderId="0" xfId="2" applyNumberFormat="1" applyFont="1" applyBorder="1" applyAlignment="1" applyProtection="1">
      <alignment horizontal="center" vertical="center"/>
      <protection hidden="1"/>
    </xf>
    <xf numFmtId="171" fontId="7" fillId="5" borderId="14" xfId="0" applyNumberFormat="1" applyFont="1" applyFill="1" applyBorder="1" applyAlignment="1" applyProtection="1">
      <alignment horizontal="center" vertical="center"/>
      <protection hidden="1"/>
    </xf>
    <xf numFmtId="44" fontId="8" fillId="3" borderId="13" xfId="1" applyFont="1" applyFill="1" applyBorder="1" applyAlignment="1" applyProtection="1">
      <alignment horizontal="center" vertical="center"/>
      <protection locked="0" hidden="1"/>
    </xf>
    <xf numFmtId="44" fontId="7" fillId="0" borderId="12" xfId="0" applyNumberFormat="1" applyFont="1" applyBorder="1" applyAlignment="1" applyProtection="1">
      <alignment horizontal="center"/>
      <protection hidden="1"/>
    </xf>
    <xf numFmtId="168" fontId="7" fillId="0" borderId="0" xfId="0" applyNumberFormat="1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8" fontId="7" fillId="4" borderId="30" xfId="0" applyNumberFormat="1" applyFont="1" applyFill="1" applyBorder="1" applyAlignment="1" applyProtection="1">
      <alignment horizontal="center" vertical="center" shrinkToFit="1"/>
      <protection hidden="1"/>
    </xf>
    <xf numFmtId="171" fontId="7" fillId="5" borderId="8" xfId="0" applyNumberFormat="1" applyFont="1" applyFill="1" applyBorder="1" applyAlignment="1" applyProtection="1">
      <alignment horizontal="center" vertical="center"/>
      <protection hidden="1"/>
    </xf>
    <xf numFmtId="44" fontId="8" fillId="3" borderId="0" xfId="1" applyFont="1" applyFill="1" applyBorder="1" applyAlignment="1" applyProtection="1">
      <alignment horizontal="center" vertical="center"/>
      <protection locked="0" hidden="1"/>
    </xf>
    <xf numFmtId="44" fontId="7" fillId="0" borderId="7" xfId="0" applyNumberFormat="1" applyFont="1" applyBorder="1" applyAlignment="1" applyProtection="1">
      <alignment horizontal="center"/>
      <protection hidden="1"/>
    </xf>
    <xf numFmtId="168" fontId="7" fillId="4" borderId="31" xfId="0" applyNumberFormat="1" applyFont="1" applyFill="1" applyBorder="1" applyAlignment="1" applyProtection="1">
      <alignment horizontal="left" vertical="center" shrinkToFit="1"/>
      <protection hidden="1"/>
    </xf>
    <xf numFmtId="172" fontId="8" fillId="6" borderId="32" xfId="0" applyNumberFormat="1" applyFont="1" applyFill="1" applyBorder="1" applyAlignment="1" applyProtection="1">
      <alignment horizontal="center" vertical="center" shrinkToFit="1"/>
      <protection hidden="1"/>
    </xf>
    <xf numFmtId="180" fontId="7" fillId="4" borderId="33" xfId="0" applyNumberFormat="1" applyFont="1" applyFill="1" applyBorder="1" applyAlignment="1" applyProtection="1">
      <alignment horizontal="center" vertical="center" shrinkToFit="1"/>
      <protection hidden="1"/>
    </xf>
    <xf numFmtId="176" fontId="7" fillId="5" borderId="8" xfId="0" applyNumberFormat="1" applyFont="1" applyFill="1" applyBorder="1" applyAlignment="1" applyProtection="1">
      <alignment horizontal="center" vertical="center"/>
      <protection hidden="1"/>
    </xf>
    <xf numFmtId="44" fontId="7" fillId="0" borderId="0" xfId="0" applyNumberFormat="1" applyFont="1" applyAlignment="1" applyProtection="1">
      <alignment horizontal="center" vertical="center"/>
      <protection hidden="1"/>
    </xf>
    <xf numFmtId="183" fontId="2" fillId="5" borderId="8" xfId="0" applyNumberFormat="1" applyFont="1" applyFill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0" fillId="0" borderId="8" xfId="0" applyBorder="1" applyProtection="1"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168" fontId="7" fillId="5" borderId="8" xfId="0" applyNumberFormat="1" applyFont="1" applyFill="1" applyBorder="1" applyAlignment="1" applyProtection="1">
      <alignment horizontal="center" vertical="center"/>
      <protection hidden="1"/>
    </xf>
    <xf numFmtId="174" fontId="7" fillId="7" borderId="13" xfId="0" applyNumberFormat="1" applyFont="1" applyFill="1" applyBorder="1" applyAlignment="1" applyProtection="1">
      <alignment horizontal="center" vertical="center"/>
      <protection hidden="1"/>
    </xf>
    <xf numFmtId="0" fontId="7" fillId="7" borderId="12" xfId="0" applyFont="1" applyFill="1" applyBorder="1" applyAlignment="1" applyProtection="1">
      <alignment horizontal="center" vertical="center"/>
      <protection hidden="1"/>
    </xf>
    <xf numFmtId="0" fontId="2" fillId="7" borderId="6" xfId="0" applyFont="1" applyFill="1" applyBorder="1" applyAlignment="1" applyProtection="1">
      <alignment horizontal="center" vertical="center"/>
      <protection hidden="1"/>
    </xf>
    <xf numFmtId="178" fontId="2" fillId="7" borderId="1" xfId="0" applyNumberFormat="1" applyFont="1" applyFill="1" applyBorder="1" applyAlignment="1" applyProtection="1">
      <alignment horizontal="center" vertical="center"/>
      <protection hidden="1"/>
    </xf>
    <xf numFmtId="10" fontId="7" fillId="7" borderId="11" xfId="2" applyNumberFormat="1" applyFont="1" applyFill="1" applyBorder="1" applyAlignment="1">
      <alignment horizontal="center" vertical="center"/>
    </xf>
    <xf numFmtId="182" fontId="7" fillId="7" borderId="10" xfId="0" applyNumberFormat="1" applyFont="1" applyFill="1" applyBorder="1" applyAlignment="1" applyProtection="1">
      <alignment horizontal="center" vertical="center" shrinkToFit="1"/>
      <protection hidden="1"/>
    </xf>
    <xf numFmtId="10" fontId="2" fillId="7" borderId="11" xfId="2" applyNumberFormat="1" applyFont="1" applyFill="1" applyBorder="1" applyAlignment="1">
      <alignment horizontal="center" vertical="center"/>
    </xf>
    <xf numFmtId="182" fontId="2" fillId="7" borderId="10" xfId="0" applyNumberFormat="1" applyFont="1" applyFill="1" applyBorder="1" applyAlignment="1" applyProtection="1">
      <alignment horizontal="center" vertical="center" shrinkToFit="1"/>
      <protection hidden="1"/>
    </xf>
    <xf numFmtId="165" fontId="10" fillId="0" borderId="0" xfId="0" applyNumberFormat="1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165" fontId="10" fillId="0" borderId="19" xfId="0" applyNumberFormat="1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168" fontId="7" fillId="0" borderId="0" xfId="0" applyNumberFormat="1" applyFont="1" applyAlignment="1" applyProtection="1">
      <alignment horizontal="left" vertical="center" shrinkToFit="1"/>
      <protection hidden="1"/>
    </xf>
    <xf numFmtId="172" fontId="8" fillId="0" borderId="0" xfId="0" applyNumberFormat="1" applyFont="1" applyAlignment="1" applyProtection="1">
      <alignment horizontal="center" vertical="center" shrinkToFit="1"/>
      <protection hidden="1"/>
    </xf>
    <xf numFmtId="180" fontId="7" fillId="0" borderId="0" xfId="0" applyNumberFormat="1" applyFont="1" applyAlignment="1" applyProtection="1">
      <alignment horizontal="center" vertical="center" shrinkToFit="1"/>
      <protection hidden="1"/>
    </xf>
    <xf numFmtId="10" fontId="7" fillId="0" borderId="21" xfId="2" applyNumberFormat="1" applyFont="1" applyFill="1" applyBorder="1" applyAlignment="1">
      <alignment horizontal="center" vertical="center"/>
    </xf>
    <xf numFmtId="182" fontId="7" fillId="0" borderId="21" xfId="0" applyNumberFormat="1" applyFont="1" applyBorder="1" applyAlignment="1" applyProtection="1">
      <alignment horizontal="center" vertical="center" shrinkToFit="1"/>
      <protection hidden="1"/>
    </xf>
    <xf numFmtId="10" fontId="7" fillId="7" borderId="11" xfId="2" applyNumberFormat="1" applyFont="1" applyFill="1" applyBorder="1" applyAlignment="1" applyProtection="1">
      <alignment horizontal="center" vertical="center"/>
      <protection hidden="1"/>
    </xf>
    <xf numFmtId="10" fontId="2" fillId="7" borderId="11" xfId="2" applyNumberFormat="1" applyFont="1" applyFill="1" applyBorder="1" applyAlignment="1" applyProtection="1">
      <alignment horizontal="center" vertical="center"/>
      <protection hidden="1"/>
    </xf>
    <xf numFmtId="10" fontId="7" fillId="0" borderId="21" xfId="2" applyNumberFormat="1" applyFont="1" applyFill="1" applyBorder="1" applyAlignment="1" applyProtection="1">
      <alignment horizontal="center" vertical="center"/>
      <protection hidden="1"/>
    </xf>
    <xf numFmtId="168" fontId="8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168" fontId="6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179" fontId="6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172" fontId="8" fillId="6" borderId="32" xfId="0" applyNumberFormat="1" applyFont="1" applyFill="1" applyBorder="1" applyAlignment="1" applyProtection="1">
      <alignment horizontal="center" vertical="center" shrinkToFit="1"/>
      <protection locked="0" hidden="1"/>
    </xf>
    <xf numFmtId="181" fontId="8" fillId="6" borderId="10" xfId="0" applyNumberFormat="1" applyFont="1" applyFill="1" applyBorder="1" applyAlignment="1" applyProtection="1">
      <alignment horizontal="center" vertical="center"/>
      <protection locked="0" hidden="1"/>
    </xf>
    <xf numFmtId="168" fontId="7" fillId="0" borderId="0" xfId="0" applyNumberFormat="1" applyFont="1" applyAlignment="1" applyProtection="1">
      <alignment horizontal="center" vertical="center"/>
      <protection hidden="1"/>
    </xf>
    <xf numFmtId="2" fontId="7" fillId="0" borderId="0" xfId="2" applyNumberFormat="1" applyFont="1" applyBorder="1" applyAlignment="1" applyProtection="1">
      <alignment horizontal="center" vertical="center"/>
      <protection hidden="1"/>
    </xf>
    <xf numFmtId="187" fontId="7" fillId="5" borderId="8" xfId="0" applyNumberFormat="1" applyFont="1" applyFill="1" applyBorder="1" applyAlignment="1" applyProtection="1">
      <alignment horizontal="center" vertical="center"/>
      <protection hidden="1"/>
    </xf>
    <xf numFmtId="188" fontId="8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0" fontId="12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168" fontId="14" fillId="5" borderId="10" xfId="0" applyNumberFormat="1" applyFont="1" applyFill="1" applyBorder="1" applyAlignment="1" applyProtection="1">
      <alignment horizontal="center" vertical="center" shrinkToFit="1"/>
      <protection hidden="1"/>
    </xf>
    <xf numFmtId="44" fontId="14" fillId="5" borderId="10" xfId="1" applyFont="1" applyFill="1" applyBorder="1" applyAlignment="1" applyProtection="1">
      <alignment horizontal="center" vertical="center"/>
      <protection locked="0" hidden="1"/>
    </xf>
    <xf numFmtId="0" fontId="15" fillId="5" borderId="10" xfId="0" applyFont="1" applyFill="1" applyBorder="1" applyAlignment="1" applyProtection="1">
      <alignment horizontal="center"/>
      <protection hidden="1"/>
    </xf>
    <xf numFmtId="168" fontId="14" fillId="5" borderId="10" xfId="0" applyNumberFormat="1" applyFont="1" applyFill="1" applyBorder="1" applyAlignment="1" applyProtection="1">
      <alignment horizontal="left" vertical="center" shrinkToFit="1"/>
      <protection hidden="1"/>
    </xf>
    <xf numFmtId="44" fontId="15" fillId="5" borderId="10" xfId="0" applyNumberFormat="1" applyFont="1" applyFill="1" applyBorder="1" applyProtection="1">
      <protection hidden="1"/>
    </xf>
    <xf numFmtId="168" fontId="16" fillId="5" borderId="10" xfId="0" applyNumberFormat="1" applyFont="1" applyFill="1" applyBorder="1" applyAlignment="1" applyProtection="1">
      <alignment horizontal="center" vertical="center" shrinkToFit="1"/>
      <protection hidden="1"/>
    </xf>
    <xf numFmtId="44" fontId="16" fillId="5" borderId="10" xfId="1" applyFont="1" applyFill="1" applyBorder="1" applyAlignment="1" applyProtection="1">
      <alignment horizontal="center" vertical="center"/>
      <protection locked="0" hidden="1"/>
    </xf>
    <xf numFmtId="0" fontId="17" fillId="5" borderId="10" xfId="0" applyFont="1" applyFill="1" applyBorder="1" applyAlignment="1" applyProtection="1">
      <alignment horizontal="center"/>
      <protection hidden="1"/>
    </xf>
    <xf numFmtId="168" fontId="16" fillId="5" borderId="10" xfId="0" applyNumberFormat="1" applyFont="1" applyFill="1" applyBorder="1" applyAlignment="1" applyProtection="1">
      <alignment horizontal="left" vertical="center" shrinkToFit="1"/>
      <protection hidden="1"/>
    </xf>
    <xf numFmtId="44" fontId="17" fillId="5" borderId="10" xfId="0" applyNumberFormat="1" applyFont="1" applyFill="1" applyBorder="1" applyProtection="1">
      <protection hidden="1"/>
    </xf>
    <xf numFmtId="16" fontId="12" fillId="5" borderId="8" xfId="0" applyNumberFormat="1" applyFont="1" applyFill="1" applyBorder="1" applyAlignment="1" applyProtection="1">
      <alignment horizontal="center" vertical="center"/>
      <protection hidden="1"/>
    </xf>
    <xf numFmtId="16" fontId="12" fillId="5" borderId="0" xfId="0" applyNumberFormat="1" applyFont="1" applyFill="1" applyAlignment="1" applyProtection="1">
      <alignment horizontal="center" vertical="center"/>
      <protection hidden="1"/>
    </xf>
    <xf numFmtId="0" fontId="12" fillId="5" borderId="0" xfId="0" applyFont="1" applyFill="1" applyAlignment="1" applyProtection="1">
      <alignment horizontal="center"/>
      <protection hidden="1"/>
    </xf>
    <xf numFmtId="0" fontId="13" fillId="5" borderId="0" xfId="0" applyFont="1" applyFill="1" applyProtection="1">
      <protection hidden="1"/>
    </xf>
    <xf numFmtId="172" fontId="11" fillId="5" borderId="0" xfId="0" applyNumberFormat="1" applyFont="1" applyFill="1" applyAlignment="1" applyProtection="1">
      <alignment horizontal="center" vertical="center" wrapText="1"/>
      <protection hidden="1"/>
    </xf>
    <xf numFmtId="173" fontId="12" fillId="0" borderId="0" xfId="1" applyNumberFormat="1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77" fontId="12" fillId="0" borderId="0" xfId="1" applyNumberFormat="1" applyFont="1" applyBorder="1" applyAlignment="1" applyProtection="1">
      <alignment horizontal="center" vertical="center"/>
      <protection hidden="1"/>
    </xf>
    <xf numFmtId="172" fontId="11" fillId="5" borderId="8" xfId="0" applyNumberFormat="1" applyFont="1" applyFill="1" applyBorder="1" applyAlignment="1" applyProtection="1">
      <alignment horizontal="center" vertical="center" wrapText="1"/>
      <protection hidden="1"/>
    </xf>
    <xf numFmtId="2" fontId="12" fillId="0" borderId="0" xfId="2" applyNumberFormat="1" applyFont="1" applyBorder="1" applyAlignment="1" applyProtection="1">
      <alignment horizontal="center" vertical="center"/>
      <protection hidden="1"/>
    </xf>
    <xf numFmtId="0" fontId="19" fillId="5" borderId="0" xfId="0" applyFont="1" applyFill="1" applyAlignment="1" applyProtection="1">
      <alignment horizontal="center" vertical="center"/>
      <protection hidden="1"/>
    </xf>
    <xf numFmtId="189" fontId="19" fillId="5" borderId="0" xfId="0" applyNumberFormat="1" applyFont="1" applyFill="1" applyAlignment="1" applyProtection="1">
      <alignment horizontal="center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181" fontId="11" fillId="5" borderId="0" xfId="0" applyNumberFormat="1" applyFont="1" applyFill="1" applyAlignment="1" applyProtection="1">
      <alignment vertical="center" shrinkToFit="1"/>
      <protection hidden="1"/>
    </xf>
    <xf numFmtId="168" fontId="11" fillId="5" borderId="0" xfId="0" applyNumberFormat="1" applyFont="1" applyFill="1" applyAlignment="1" applyProtection="1">
      <alignment vertical="center"/>
      <protection hidden="1"/>
    </xf>
    <xf numFmtId="0" fontId="19" fillId="5" borderId="10" xfId="0" applyFont="1" applyFill="1" applyBorder="1" applyAlignment="1" applyProtection="1">
      <alignment horizontal="center" vertical="center"/>
      <protection hidden="1"/>
    </xf>
    <xf numFmtId="189" fontId="19" fillId="5" borderId="10" xfId="0" applyNumberFormat="1" applyFont="1" applyFill="1" applyBorder="1" applyAlignment="1" applyProtection="1">
      <alignment horizontal="center" vertical="center"/>
      <protection hidden="1"/>
    </xf>
    <xf numFmtId="9" fontId="12" fillId="0" borderId="0" xfId="2" applyFont="1" applyAlignment="1" applyProtection="1">
      <alignment horizontal="center"/>
      <protection hidden="1"/>
    </xf>
    <xf numFmtId="168" fontId="11" fillId="5" borderId="8" xfId="0" applyNumberFormat="1" applyFont="1" applyFill="1" applyBorder="1" applyAlignment="1" applyProtection="1">
      <alignment vertical="center"/>
      <protection hidden="1"/>
    </xf>
    <xf numFmtId="168" fontId="20" fillId="4" borderId="14" xfId="0" applyNumberFormat="1" applyFont="1" applyFill="1" applyBorder="1" applyAlignment="1" applyProtection="1">
      <alignment horizontal="left" vertical="center" shrinkToFit="1"/>
      <protection hidden="1"/>
    </xf>
    <xf numFmtId="178" fontId="21" fillId="5" borderId="13" xfId="0" applyNumberFormat="1" applyFont="1" applyFill="1" applyBorder="1" applyAlignment="1" applyProtection="1">
      <alignment horizontal="left" vertical="center"/>
      <protection hidden="1"/>
    </xf>
    <xf numFmtId="44" fontId="22" fillId="5" borderId="12" xfId="1" applyFont="1" applyFill="1" applyBorder="1" applyAlignment="1" applyProtection="1">
      <alignment horizontal="left" vertical="center" shrinkToFit="1"/>
      <protection hidden="1"/>
    </xf>
    <xf numFmtId="184" fontId="12" fillId="5" borderId="0" xfId="0" applyNumberFormat="1" applyFont="1" applyFill="1" applyAlignment="1" applyProtection="1">
      <alignment horizontal="center" vertical="center"/>
      <protection hidden="1"/>
    </xf>
    <xf numFmtId="168" fontId="11" fillId="4" borderId="14" xfId="0" applyNumberFormat="1" applyFont="1" applyFill="1" applyBorder="1" applyAlignment="1" applyProtection="1">
      <alignment horizontal="left" vertical="center" shrinkToFit="1"/>
      <protection hidden="1"/>
    </xf>
    <xf numFmtId="168" fontId="20" fillId="4" borderId="44" xfId="0" applyNumberFormat="1" applyFont="1" applyFill="1" applyBorder="1" applyAlignment="1" applyProtection="1">
      <alignment horizontal="left" vertical="center" shrinkToFit="1"/>
      <protection hidden="1"/>
    </xf>
    <xf numFmtId="178" fontId="21" fillId="5" borderId="45" xfId="0" applyNumberFormat="1" applyFont="1" applyFill="1" applyBorder="1" applyAlignment="1" applyProtection="1">
      <alignment horizontal="left" vertical="center"/>
      <protection hidden="1"/>
    </xf>
    <xf numFmtId="44" fontId="22" fillId="5" borderId="46" xfId="1" applyFont="1" applyFill="1" applyBorder="1" applyAlignment="1" applyProtection="1">
      <alignment horizontal="left" vertical="center" shrinkToFit="1"/>
      <protection hidden="1"/>
    </xf>
    <xf numFmtId="168" fontId="11" fillId="4" borderId="8" xfId="0" applyNumberFormat="1" applyFont="1" applyFill="1" applyBorder="1" applyAlignment="1" applyProtection="1">
      <alignment horizontal="left" vertical="center" shrinkToFit="1"/>
      <protection hidden="1"/>
    </xf>
    <xf numFmtId="0" fontId="20" fillId="4" borderId="44" xfId="0" applyFont="1" applyFill="1" applyBorder="1" applyAlignment="1" applyProtection="1">
      <alignment horizontal="left" vertical="center" shrinkToFit="1"/>
      <protection hidden="1"/>
    </xf>
    <xf numFmtId="0" fontId="24" fillId="5" borderId="45" xfId="0" applyFont="1" applyFill="1" applyBorder="1" applyProtection="1">
      <protection hidden="1"/>
    </xf>
    <xf numFmtId="0" fontId="11" fillId="4" borderId="8" xfId="0" applyFont="1" applyFill="1" applyBorder="1" applyAlignment="1" applyProtection="1">
      <alignment horizontal="left" vertical="center" shrinkToFit="1"/>
      <protection hidden="1"/>
    </xf>
    <xf numFmtId="168" fontId="20" fillId="4" borderId="47" xfId="0" applyNumberFormat="1" applyFont="1" applyFill="1" applyBorder="1" applyAlignment="1" applyProtection="1">
      <alignment horizontal="left" vertical="center" shrinkToFit="1"/>
      <protection hidden="1"/>
    </xf>
    <xf numFmtId="178" fontId="21" fillId="5" borderId="48" xfId="0" applyNumberFormat="1" applyFont="1" applyFill="1" applyBorder="1" applyAlignment="1" applyProtection="1">
      <alignment horizontal="left" vertical="center"/>
      <protection hidden="1"/>
    </xf>
    <xf numFmtId="44" fontId="22" fillId="5" borderId="49" xfId="1" applyFont="1" applyFill="1" applyBorder="1" applyAlignment="1" applyProtection="1">
      <alignment horizontal="left" vertical="center" shrinkToFit="1"/>
      <protection hidden="1"/>
    </xf>
    <xf numFmtId="181" fontId="11" fillId="5" borderId="0" xfId="0" applyNumberFormat="1" applyFont="1" applyFill="1" applyAlignment="1" applyProtection="1">
      <alignment horizontal="center" vertical="center" shrinkToFit="1"/>
      <protection hidden="1"/>
    </xf>
    <xf numFmtId="178" fontId="25" fillId="5" borderId="43" xfId="0" applyNumberFormat="1" applyFont="1" applyFill="1" applyBorder="1" applyAlignment="1" applyProtection="1">
      <alignment horizontal="left" vertical="center"/>
      <protection hidden="1"/>
    </xf>
    <xf numFmtId="44" fontId="11" fillId="5" borderId="40" xfId="1" applyFont="1" applyFill="1" applyBorder="1" applyAlignment="1" applyProtection="1">
      <alignment horizontal="center" vertical="center" shrinkToFit="1"/>
      <protection hidden="1"/>
    </xf>
    <xf numFmtId="184" fontId="11" fillId="5" borderId="0" xfId="0" applyNumberFormat="1" applyFont="1" applyFill="1" applyAlignment="1" applyProtection="1">
      <alignment vertical="center"/>
      <protection hidden="1"/>
    </xf>
    <xf numFmtId="0" fontId="26" fillId="4" borderId="8" xfId="0" applyFont="1" applyFill="1" applyBorder="1" applyAlignment="1" applyProtection="1">
      <alignment horizontal="left"/>
      <protection hidden="1"/>
    </xf>
    <xf numFmtId="168" fontId="11" fillId="5" borderId="0" xfId="0" applyNumberFormat="1" applyFont="1" applyFill="1" applyAlignment="1" applyProtection="1">
      <alignment horizontal="center" vertical="center" shrinkToFit="1"/>
      <protection hidden="1"/>
    </xf>
    <xf numFmtId="178" fontId="11" fillId="5" borderId="0" xfId="0" applyNumberFormat="1" applyFont="1" applyFill="1" applyAlignment="1" applyProtection="1">
      <alignment horizontal="center" vertical="center"/>
      <protection hidden="1"/>
    </xf>
    <xf numFmtId="10" fontId="12" fillId="0" borderId="0" xfId="2" applyNumberFormat="1" applyFont="1" applyBorder="1" applyAlignment="1" applyProtection="1">
      <alignment horizontal="center" shrinkToFit="1"/>
      <protection hidden="1"/>
    </xf>
    <xf numFmtId="0" fontId="26" fillId="4" borderId="2" xfId="0" applyFont="1" applyFill="1" applyBorder="1" applyAlignment="1" applyProtection="1">
      <alignment horizontal="left"/>
      <protection hidden="1"/>
    </xf>
    <xf numFmtId="184" fontId="13" fillId="0" borderId="6" xfId="0" applyNumberFormat="1" applyFont="1" applyBorder="1" applyAlignment="1" applyProtection="1">
      <alignment horizontal="left"/>
      <protection hidden="1"/>
    </xf>
    <xf numFmtId="2" fontId="12" fillId="5" borderId="0" xfId="0" applyNumberFormat="1" applyFont="1" applyFill="1" applyAlignment="1" applyProtection="1">
      <alignment horizontal="center" vertical="center"/>
      <protection hidden="1"/>
    </xf>
    <xf numFmtId="169" fontId="12" fillId="5" borderId="0" xfId="0" applyNumberFormat="1" applyFont="1" applyFill="1" applyAlignment="1" applyProtection="1">
      <alignment horizontal="center" vertical="center"/>
      <protection hidden="1"/>
    </xf>
    <xf numFmtId="184" fontId="20" fillId="5" borderId="0" xfId="1" applyNumberFormat="1" applyFont="1" applyFill="1" applyBorder="1" applyAlignment="1" applyProtection="1">
      <alignment horizontal="center" vertical="center"/>
      <protection locked="0" hidden="1"/>
    </xf>
    <xf numFmtId="10" fontId="12" fillId="0" borderId="0" xfId="0" applyNumberFormat="1" applyFont="1" applyAlignment="1" applyProtection="1">
      <alignment horizontal="center" vertical="center"/>
      <protection hidden="1"/>
    </xf>
    <xf numFmtId="184" fontId="27" fillId="5" borderId="0" xfId="0" applyNumberFormat="1" applyFont="1" applyFill="1" applyAlignment="1" applyProtection="1">
      <alignment horizontal="center"/>
      <protection hidden="1"/>
    </xf>
    <xf numFmtId="168" fontId="19" fillId="4" borderId="18" xfId="0" applyNumberFormat="1" applyFont="1" applyFill="1" applyBorder="1" applyAlignment="1" applyProtection="1">
      <alignment horizontal="left" vertical="center" shrinkToFit="1"/>
      <protection hidden="1"/>
    </xf>
    <xf numFmtId="192" fontId="19" fillId="5" borderId="10" xfId="0" applyNumberFormat="1" applyFont="1" applyFill="1" applyBorder="1" applyAlignment="1" applyProtection="1">
      <alignment horizontal="center" vertical="center" shrinkToFit="1"/>
      <protection hidden="1"/>
    </xf>
    <xf numFmtId="184" fontId="19" fillId="5" borderId="10" xfId="0" applyNumberFormat="1" applyFont="1" applyFill="1" applyBorder="1" applyAlignment="1" applyProtection="1">
      <alignment horizontal="center" vertical="center" shrinkToFit="1"/>
      <protection hidden="1"/>
    </xf>
    <xf numFmtId="175" fontId="12" fillId="5" borderId="0" xfId="0" applyNumberFormat="1" applyFont="1" applyFill="1" applyAlignment="1" applyProtection="1">
      <alignment horizontal="center" vertical="center" shrinkToFit="1"/>
      <protection hidden="1"/>
    </xf>
    <xf numFmtId="0" fontId="19" fillId="4" borderId="18" xfId="0" applyFont="1" applyFill="1" applyBorder="1" applyAlignment="1" applyProtection="1">
      <alignment horizontal="left" vertical="center"/>
      <protection hidden="1"/>
    </xf>
    <xf numFmtId="165" fontId="12" fillId="0" borderId="0" xfId="0" applyNumberFormat="1" applyFont="1" applyAlignment="1" applyProtection="1">
      <alignment horizontal="center" vertical="center"/>
      <protection hidden="1"/>
    </xf>
    <xf numFmtId="167" fontId="12" fillId="5" borderId="0" xfId="0" applyNumberFormat="1" applyFont="1" applyFill="1" applyAlignment="1" applyProtection="1">
      <alignment horizontal="center" vertical="center" shrinkToFit="1"/>
      <protection hidden="1"/>
    </xf>
    <xf numFmtId="0" fontId="26" fillId="4" borderId="39" xfId="0" applyFont="1" applyFill="1" applyBorder="1" applyAlignment="1" applyProtection="1">
      <alignment horizontal="left"/>
      <protection hidden="1"/>
    </xf>
    <xf numFmtId="184" fontId="13" fillId="0" borderId="0" xfId="0" applyNumberFormat="1" applyFont="1" applyProtection="1"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184" fontId="29" fillId="9" borderId="0" xfId="0" applyNumberFormat="1" applyFont="1" applyFill="1" applyProtection="1">
      <protection hidden="1"/>
    </xf>
    <xf numFmtId="181" fontId="13" fillId="0" borderId="0" xfId="0" applyNumberFormat="1" applyFont="1" applyProtection="1">
      <protection hidden="1"/>
    </xf>
    <xf numFmtId="172" fontId="11" fillId="10" borderId="55" xfId="0" applyNumberFormat="1" applyFont="1" applyFill="1" applyBorder="1" applyAlignment="1" applyProtection="1">
      <alignment horizontal="center" vertical="center" wrapText="1"/>
      <protection hidden="1"/>
    </xf>
    <xf numFmtId="44" fontId="11" fillId="10" borderId="56" xfId="1" applyFont="1" applyFill="1" applyBorder="1" applyAlignment="1" applyProtection="1">
      <alignment horizontal="center" vertical="center" shrinkToFit="1"/>
      <protection hidden="1"/>
    </xf>
    <xf numFmtId="0" fontId="23" fillId="10" borderId="57" xfId="0" applyFont="1" applyFill="1" applyBorder="1" applyAlignment="1" applyProtection="1">
      <alignment horizontal="center"/>
      <protection hidden="1"/>
    </xf>
    <xf numFmtId="172" fontId="11" fillId="10" borderId="52" xfId="0" applyNumberFormat="1" applyFont="1" applyFill="1" applyBorder="1" applyAlignment="1" applyProtection="1">
      <alignment horizontal="center" vertical="center" wrapText="1"/>
      <protection hidden="1"/>
    </xf>
    <xf numFmtId="178" fontId="11" fillId="10" borderId="58" xfId="0" applyNumberFormat="1" applyFont="1" applyFill="1" applyBorder="1" applyAlignment="1" applyProtection="1">
      <alignment horizontal="center" vertical="center"/>
      <protection hidden="1"/>
    </xf>
    <xf numFmtId="44" fontId="11" fillId="10" borderId="59" xfId="1" applyFont="1" applyFill="1" applyBorder="1" applyAlignment="1" applyProtection="1">
      <alignment horizontal="center" vertical="center" shrinkToFit="1"/>
      <protection hidden="1"/>
    </xf>
    <xf numFmtId="184" fontId="30" fillId="5" borderId="0" xfId="0" applyNumberFormat="1" applyFont="1" applyFill="1" applyAlignment="1" applyProtection="1">
      <alignment horizontal="center" vertical="center"/>
      <protection hidden="1"/>
    </xf>
    <xf numFmtId="194" fontId="20" fillId="8" borderId="51" xfId="0" applyNumberFormat="1" applyFont="1" applyFill="1" applyBorder="1" applyAlignment="1" applyProtection="1">
      <alignment horizontal="center" vertical="center" shrinkToFit="1"/>
      <protection hidden="1"/>
    </xf>
    <xf numFmtId="168" fontId="13" fillId="0" borderId="0" xfId="0" applyNumberFormat="1" applyFont="1" applyProtection="1">
      <protection hidden="1"/>
    </xf>
    <xf numFmtId="190" fontId="13" fillId="0" borderId="0" xfId="0" applyNumberFormat="1" applyFont="1" applyProtection="1">
      <protection hidden="1"/>
    </xf>
    <xf numFmtId="9" fontId="11" fillId="5" borderId="0" xfId="2" applyFont="1" applyFill="1" applyAlignment="1" applyProtection="1">
      <alignment horizontal="center" vertical="center" wrapText="1"/>
      <protection hidden="1"/>
    </xf>
    <xf numFmtId="191" fontId="20" fillId="0" borderId="50" xfId="0" applyNumberFormat="1" applyFont="1" applyBorder="1" applyAlignment="1" applyProtection="1">
      <alignment vertical="center" shrinkToFit="1"/>
      <protection hidden="1"/>
    </xf>
    <xf numFmtId="168" fontId="11" fillId="5" borderId="62" xfId="0" applyNumberFormat="1" applyFont="1" applyFill="1" applyBorder="1" applyAlignment="1" applyProtection="1">
      <alignment vertical="center"/>
      <protection hidden="1"/>
    </xf>
    <xf numFmtId="178" fontId="11" fillId="5" borderId="63" xfId="0" applyNumberFormat="1" applyFont="1" applyFill="1" applyBorder="1" applyAlignment="1" applyProtection="1">
      <alignment horizontal="center" vertical="center"/>
      <protection hidden="1"/>
    </xf>
    <xf numFmtId="181" fontId="20" fillId="8" borderId="64" xfId="0" applyNumberFormat="1" applyFont="1" applyFill="1" applyBorder="1" applyAlignment="1" applyProtection="1">
      <alignment horizontal="center" vertical="center" shrinkToFit="1"/>
      <protection hidden="1"/>
    </xf>
    <xf numFmtId="168" fontId="31" fillId="5" borderId="13" xfId="0" applyNumberFormat="1" applyFont="1" applyFill="1" applyBorder="1" applyAlignment="1" applyProtection="1">
      <alignment horizontal="left" vertical="center" shrinkToFit="1"/>
      <protection hidden="1"/>
    </xf>
    <xf numFmtId="168" fontId="31" fillId="5" borderId="45" xfId="0" applyNumberFormat="1" applyFont="1" applyFill="1" applyBorder="1" applyAlignment="1" applyProtection="1">
      <alignment horizontal="left" vertical="center" shrinkToFit="1"/>
      <protection hidden="1"/>
    </xf>
    <xf numFmtId="190" fontId="31" fillId="5" borderId="45" xfId="0" applyNumberFormat="1" applyFont="1" applyFill="1" applyBorder="1" applyAlignment="1" applyProtection="1">
      <alignment horizontal="left" vertical="center" shrinkToFit="1"/>
      <protection hidden="1"/>
    </xf>
    <xf numFmtId="178" fontId="21" fillId="5" borderId="65" xfId="0" applyNumberFormat="1" applyFont="1" applyFill="1" applyBorder="1" applyAlignment="1" applyProtection="1">
      <alignment horizontal="left" vertical="center"/>
      <protection hidden="1"/>
    </xf>
    <xf numFmtId="44" fontId="25" fillId="5" borderId="43" xfId="1" applyFont="1" applyFill="1" applyBorder="1" applyAlignment="1" applyProtection="1">
      <alignment horizontal="left" vertical="center"/>
      <protection hidden="1"/>
    </xf>
    <xf numFmtId="193" fontId="12" fillId="5" borderId="0" xfId="0" applyNumberFormat="1" applyFont="1" applyFill="1" applyAlignment="1" applyProtection="1">
      <alignment horizontal="left" vertical="center"/>
      <protection hidden="1"/>
    </xf>
    <xf numFmtId="184" fontId="13" fillId="0" borderId="0" xfId="0" applyNumberFormat="1" applyFont="1" applyAlignment="1" applyProtection="1">
      <alignment horizontal="left"/>
      <protection hidden="1"/>
    </xf>
    <xf numFmtId="196" fontId="12" fillId="5" borderId="13" xfId="0" applyNumberFormat="1" applyFont="1" applyFill="1" applyBorder="1" applyAlignment="1" applyProtection="1">
      <alignment horizontal="left" vertical="center"/>
      <protection hidden="1"/>
    </xf>
    <xf numFmtId="197" fontId="12" fillId="5" borderId="0" xfId="0" applyNumberFormat="1" applyFont="1" applyFill="1" applyAlignment="1" applyProtection="1">
      <alignment horizontal="left" vertical="center"/>
      <protection hidden="1"/>
    </xf>
    <xf numFmtId="184" fontId="23" fillId="0" borderId="12" xfId="0" applyNumberFormat="1" applyFont="1" applyBorder="1" applyAlignment="1" applyProtection="1">
      <alignment horizontal="center" vertical="center"/>
      <protection hidden="1"/>
    </xf>
    <xf numFmtId="184" fontId="13" fillId="0" borderId="7" xfId="0" applyNumberFormat="1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184" fontId="13" fillId="0" borderId="1" xfId="0" applyNumberFormat="1" applyFont="1" applyBorder="1" applyAlignment="1" applyProtection="1">
      <alignment horizontal="center" vertical="center"/>
      <protection hidden="1"/>
    </xf>
    <xf numFmtId="16" fontId="11" fillId="5" borderId="0" xfId="0" applyNumberFormat="1" applyFont="1" applyFill="1" applyAlignment="1" applyProtection="1">
      <alignment horizontal="center" vertical="center"/>
      <protection hidden="1"/>
    </xf>
    <xf numFmtId="184" fontId="23" fillId="5" borderId="0" xfId="0" applyNumberFormat="1" applyFont="1" applyFill="1" applyProtection="1">
      <protection hidden="1"/>
    </xf>
    <xf numFmtId="184" fontId="13" fillId="5" borderId="0" xfId="0" applyNumberFormat="1" applyFont="1" applyFill="1" applyProtection="1">
      <protection hidden="1"/>
    </xf>
    <xf numFmtId="195" fontId="28" fillId="5" borderId="0" xfId="0" applyNumberFormat="1" applyFont="1" applyFill="1" applyAlignment="1" applyProtection="1">
      <alignment horizontal="center"/>
      <protection hidden="1"/>
    </xf>
    <xf numFmtId="195" fontId="30" fillId="5" borderId="0" xfId="0" applyNumberFormat="1" applyFont="1" applyFill="1" applyAlignment="1" applyProtection="1">
      <alignment horizontal="center"/>
      <protection hidden="1"/>
    </xf>
    <xf numFmtId="172" fontId="12" fillId="5" borderId="0" xfId="0" applyNumberFormat="1" applyFont="1" applyFill="1" applyAlignment="1" applyProtection="1">
      <alignment horizontal="center" vertical="center"/>
      <protection hidden="1"/>
    </xf>
    <xf numFmtId="199" fontId="17" fillId="5" borderId="10" xfId="0" applyNumberFormat="1" applyFont="1" applyFill="1" applyBorder="1" applyProtection="1">
      <protection hidden="1"/>
    </xf>
    <xf numFmtId="200" fontId="16" fillId="5" borderId="10" xfId="3" applyNumberFormat="1" applyFont="1" applyFill="1" applyBorder="1" applyAlignment="1" applyProtection="1">
      <alignment horizontal="left" vertical="center" shrinkToFit="1"/>
      <protection hidden="1"/>
    </xf>
    <xf numFmtId="201" fontId="14" fillId="5" borderId="10" xfId="0" applyNumberFormat="1" applyFont="1" applyFill="1" applyBorder="1" applyAlignment="1" applyProtection="1">
      <alignment horizontal="left" vertical="center" shrinkToFit="1"/>
      <protection hidden="1"/>
    </xf>
    <xf numFmtId="2" fontId="19" fillId="5" borderId="0" xfId="1" applyNumberFormat="1" applyFont="1" applyFill="1" applyAlignment="1" applyProtection="1">
      <alignment horizontal="center" vertical="center"/>
      <protection hidden="1"/>
    </xf>
    <xf numFmtId="184" fontId="11" fillId="10" borderId="56" xfId="1" applyNumberFormat="1" applyFont="1" applyFill="1" applyBorder="1" applyAlignment="1" applyProtection="1">
      <alignment horizontal="center" vertical="center" shrinkToFit="1"/>
      <protection hidden="1"/>
    </xf>
    <xf numFmtId="13" fontId="7" fillId="0" borderId="0" xfId="0" applyNumberFormat="1" applyFont="1" applyAlignment="1" applyProtection="1">
      <alignment horizontal="center" vertical="center"/>
      <protection hidden="1"/>
    </xf>
    <xf numFmtId="188" fontId="7" fillId="5" borderId="14" xfId="0" applyNumberFormat="1" applyFont="1" applyFill="1" applyBorder="1" applyAlignment="1" applyProtection="1">
      <alignment horizontal="center" vertical="center"/>
      <protection hidden="1"/>
    </xf>
    <xf numFmtId="0" fontId="6" fillId="3" borderId="6" xfId="1" applyNumberFormat="1" applyFont="1" applyFill="1" applyBorder="1" applyAlignment="1" applyProtection="1">
      <alignment horizontal="center" vertical="center"/>
      <protection locked="0" hidden="1"/>
    </xf>
    <xf numFmtId="168" fontId="7" fillId="5" borderId="10" xfId="0" applyNumberFormat="1" applyFont="1" applyFill="1" applyBorder="1" applyAlignment="1" applyProtection="1">
      <alignment horizontal="center" vertical="center" shrinkToFit="1"/>
      <protection hidden="1"/>
    </xf>
    <xf numFmtId="0" fontId="0" fillId="0" borderId="10" xfId="0" applyBorder="1" applyProtection="1">
      <protection hidden="1"/>
    </xf>
    <xf numFmtId="188" fontId="7" fillId="5" borderId="8" xfId="0" applyNumberFormat="1" applyFont="1" applyFill="1" applyBorder="1" applyAlignment="1" applyProtection="1">
      <alignment horizontal="center" vertical="center"/>
      <protection hidden="1"/>
    </xf>
    <xf numFmtId="179" fontId="35" fillId="5" borderId="8" xfId="0" applyNumberFormat="1" applyFont="1" applyFill="1" applyBorder="1" applyAlignment="1" applyProtection="1">
      <alignment horizontal="center" vertical="center" shrinkToFit="1"/>
      <protection locked="0" hidden="1"/>
    </xf>
    <xf numFmtId="176" fontId="7" fillId="5" borderId="2" xfId="0" applyNumberFormat="1" applyFont="1" applyFill="1" applyBorder="1" applyAlignment="1" applyProtection="1">
      <alignment horizontal="center" vertical="center"/>
      <protection hidden="1"/>
    </xf>
    <xf numFmtId="44" fontId="8" fillId="3" borderId="6" xfId="1" applyFont="1" applyFill="1" applyBorder="1" applyAlignment="1" applyProtection="1">
      <alignment horizontal="center" vertical="center"/>
      <protection locked="0" hidden="1"/>
    </xf>
    <xf numFmtId="44" fontId="7" fillId="0" borderId="1" xfId="0" applyNumberFormat="1" applyFont="1" applyBorder="1" applyAlignment="1" applyProtection="1">
      <alignment horizontal="center"/>
      <protection hidden="1"/>
    </xf>
    <xf numFmtId="176" fontId="7" fillId="0" borderId="13" xfId="0" applyNumberFormat="1" applyFont="1" applyBorder="1" applyAlignment="1" applyProtection="1">
      <alignment horizontal="center" vertical="center"/>
      <protection hidden="1"/>
    </xf>
    <xf numFmtId="44" fontId="8" fillId="0" borderId="13" xfId="1" applyFont="1" applyFill="1" applyBorder="1" applyAlignment="1" applyProtection="1">
      <alignment horizontal="center" vertical="center"/>
      <protection locked="0" hidden="1"/>
    </xf>
    <xf numFmtId="183" fontId="2" fillId="5" borderId="14" xfId="0" applyNumberFormat="1" applyFont="1" applyFill="1" applyBorder="1" applyAlignment="1" applyProtection="1">
      <alignment horizontal="center" vertical="center"/>
      <protection hidden="1"/>
    </xf>
    <xf numFmtId="44" fontId="6" fillId="3" borderId="13" xfId="1" applyFont="1" applyFill="1" applyBorder="1" applyAlignment="1" applyProtection="1">
      <alignment horizontal="center" vertical="center"/>
      <protection locked="0" hidden="1"/>
    </xf>
    <xf numFmtId="44" fontId="2" fillId="0" borderId="12" xfId="0" applyNumberFormat="1" applyFont="1" applyBorder="1" applyAlignment="1" applyProtection="1">
      <alignment horizontal="center"/>
      <protection hidden="1"/>
    </xf>
    <xf numFmtId="166" fontId="2" fillId="5" borderId="8" xfId="0" applyNumberFormat="1" applyFont="1" applyFill="1" applyBorder="1" applyAlignment="1" applyProtection="1">
      <alignment horizontal="center" vertical="center"/>
      <protection hidden="1"/>
    </xf>
    <xf numFmtId="10" fontId="6" fillId="5" borderId="0" xfId="2" applyNumberFormat="1" applyFont="1" applyFill="1" applyBorder="1" applyAlignment="1" applyProtection="1">
      <alignment horizontal="center" vertical="center"/>
      <protection locked="0" hidden="1"/>
    </xf>
    <xf numFmtId="44" fontId="2" fillId="5" borderId="0" xfId="0" applyNumberFormat="1" applyFont="1" applyFill="1" applyAlignment="1" applyProtection="1">
      <alignment horizontal="center"/>
      <protection hidden="1"/>
    </xf>
    <xf numFmtId="44" fontId="2" fillId="0" borderId="0" xfId="0" applyNumberFormat="1" applyFont="1" applyAlignment="1" applyProtection="1">
      <alignment horizontal="center"/>
      <protection hidden="1"/>
    </xf>
    <xf numFmtId="180" fontId="33" fillId="0" borderId="0" xfId="0" applyNumberFormat="1" applyFont="1" applyAlignment="1" applyProtection="1">
      <alignment horizontal="center" vertical="center" shrinkToFit="1"/>
      <protection hidden="1"/>
    </xf>
    <xf numFmtId="16" fontId="2" fillId="5" borderId="69" xfId="0" applyNumberFormat="1" applyFont="1" applyFill="1" applyBorder="1" applyAlignment="1" applyProtection="1">
      <alignment horizontal="center" vertical="center"/>
      <protection hidden="1"/>
    </xf>
    <xf numFmtId="0" fontId="2" fillId="5" borderId="70" xfId="0" applyFont="1" applyFill="1" applyBorder="1" applyAlignment="1" applyProtection="1">
      <alignment horizontal="center"/>
      <protection hidden="1"/>
    </xf>
    <xf numFmtId="0" fontId="2" fillId="0" borderId="70" xfId="0" applyFont="1" applyBorder="1" applyAlignment="1" applyProtection="1">
      <alignment horizontal="center" vertical="center"/>
      <protection hidden="1"/>
    </xf>
    <xf numFmtId="0" fontId="2" fillId="0" borderId="70" xfId="0" applyFont="1" applyBorder="1" applyAlignment="1" applyProtection="1">
      <alignment horizontal="center"/>
      <protection hidden="1"/>
    </xf>
    <xf numFmtId="168" fontId="7" fillId="5" borderId="69" xfId="0" applyNumberFormat="1" applyFont="1" applyFill="1" applyBorder="1" applyAlignment="1" applyProtection="1">
      <alignment horizontal="center" vertical="center"/>
      <protection hidden="1"/>
    </xf>
    <xf numFmtId="168" fontId="7" fillId="0" borderId="70" xfId="0" applyNumberFormat="1" applyFont="1" applyBorder="1" applyAlignment="1" applyProtection="1">
      <alignment horizontal="center"/>
      <protection hidden="1"/>
    </xf>
    <xf numFmtId="168" fontId="2" fillId="0" borderId="70" xfId="0" applyNumberFormat="1" applyFont="1" applyBorder="1" applyAlignment="1" applyProtection="1">
      <alignment horizontal="center"/>
      <protection hidden="1"/>
    </xf>
    <xf numFmtId="0" fontId="7" fillId="0" borderId="70" xfId="0" applyFont="1" applyBorder="1" applyAlignment="1" applyProtection="1">
      <alignment horizontal="center"/>
      <protection hidden="1"/>
    </xf>
    <xf numFmtId="168" fontId="7" fillId="0" borderId="69" xfId="0" applyNumberFormat="1" applyFont="1" applyBorder="1" applyAlignment="1" applyProtection="1">
      <alignment horizontal="left" vertical="center" shrinkToFit="1"/>
      <protection hidden="1"/>
    </xf>
    <xf numFmtId="0" fontId="0" fillId="0" borderId="69" xfId="0" applyBorder="1" applyProtection="1">
      <protection hidden="1"/>
    </xf>
    <xf numFmtId="0" fontId="2" fillId="0" borderId="69" xfId="0" applyFont="1" applyBorder="1" applyAlignment="1" applyProtection="1">
      <alignment horizontal="center" vertical="center"/>
      <protection hidden="1"/>
    </xf>
    <xf numFmtId="0" fontId="0" fillId="0" borderId="76" xfId="0" applyBorder="1" applyProtection="1">
      <protection hidden="1"/>
    </xf>
    <xf numFmtId="0" fontId="2" fillId="0" borderId="77" xfId="0" applyFont="1" applyBorder="1" applyAlignment="1" applyProtection="1">
      <alignment vertical="center"/>
      <protection hidden="1"/>
    </xf>
    <xf numFmtId="181" fontId="2" fillId="0" borderId="77" xfId="0" applyNumberFormat="1" applyFont="1" applyBorder="1" applyAlignment="1" applyProtection="1">
      <alignment vertical="center"/>
      <protection hidden="1"/>
    </xf>
    <xf numFmtId="0" fontId="0" fillId="0" borderId="77" xfId="0" applyBorder="1" applyProtection="1">
      <protection hidden="1"/>
    </xf>
    <xf numFmtId="202" fontId="34" fillId="5" borderId="39" xfId="0" applyNumberFormat="1" applyFont="1" applyFill="1" applyBorder="1" applyAlignment="1" applyProtection="1">
      <alignment horizontal="center" vertical="center" shrinkToFit="1"/>
      <protection hidden="1"/>
    </xf>
    <xf numFmtId="202" fontId="34" fillId="5" borderId="4" xfId="0" applyNumberFormat="1" applyFont="1" applyFill="1" applyBorder="1" applyAlignment="1" applyProtection="1">
      <alignment horizontal="center" vertical="center" shrinkToFit="1"/>
      <protection hidden="1"/>
    </xf>
    <xf numFmtId="184" fontId="34" fillId="5" borderId="4" xfId="0" applyNumberFormat="1" applyFont="1" applyFill="1" applyBorder="1" applyAlignment="1" applyProtection="1">
      <alignment horizontal="center" vertical="center" shrinkToFit="1"/>
      <protection hidden="1"/>
    </xf>
    <xf numFmtId="10" fontId="7" fillId="0" borderId="0" xfId="2" applyNumberFormat="1" applyFont="1" applyFill="1" applyBorder="1" applyAlignment="1" applyProtection="1">
      <alignment horizontal="center" vertical="center"/>
      <protection hidden="1"/>
    </xf>
    <xf numFmtId="182" fontId="7" fillId="0" borderId="0" xfId="0" applyNumberFormat="1" applyFont="1" applyAlignment="1" applyProtection="1">
      <alignment horizontal="center" vertical="center" shrinkToFit="1"/>
      <protection hidden="1"/>
    </xf>
    <xf numFmtId="182" fontId="7" fillId="7" borderId="9" xfId="0" applyNumberFormat="1" applyFont="1" applyFill="1" applyBorder="1" applyAlignment="1" applyProtection="1">
      <alignment horizontal="center" vertical="center" shrinkToFit="1"/>
      <protection hidden="1"/>
    </xf>
    <xf numFmtId="182" fontId="2" fillId="7" borderId="9" xfId="0" applyNumberFormat="1" applyFont="1" applyFill="1" applyBorder="1" applyAlignment="1" applyProtection="1">
      <alignment horizontal="center" vertical="center" shrinkToFit="1"/>
      <protection hidden="1"/>
    </xf>
    <xf numFmtId="10" fontId="7" fillId="7" borderId="5" xfId="2" applyNumberFormat="1" applyFont="1" applyFill="1" applyBorder="1" applyAlignment="1" applyProtection="1">
      <alignment horizontal="center" vertical="center"/>
      <protection hidden="1"/>
    </xf>
    <xf numFmtId="182" fontId="7" fillId="7" borderId="3" xfId="0" applyNumberFormat="1" applyFont="1" applyFill="1" applyBorder="1" applyAlignment="1" applyProtection="1">
      <alignment horizontal="center" vertical="center" shrinkToFit="1"/>
      <protection hidden="1"/>
    </xf>
    <xf numFmtId="7" fontId="0" fillId="0" borderId="0" xfId="0" applyNumberFormat="1" applyProtection="1">
      <protection hidden="1"/>
    </xf>
    <xf numFmtId="44" fontId="2" fillId="0" borderId="70" xfId="0" applyNumberFormat="1" applyFont="1" applyBorder="1" applyAlignment="1" applyProtection="1">
      <alignment horizontal="center"/>
      <protection hidden="1"/>
    </xf>
    <xf numFmtId="7" fontId="2" fillId="0" borderId="70" xfId="0" applyNumberFormat="1" applyFont="1" applyBorder="1" applyAlignment="1" applyProtection="1">
      <alignment horizontal="center"/>
      <protection hidden="1"/>
    </xf>
    <xf numFmtId="184" fontId="0" fillId="0" borderId="0" xfId="0" applyNumberFormat="1" applyProtection="1">
      <protection hidden="1"/>
    </xf>
    <xf numFmtId="7" fontId="9" fillId="0" borderId="0" xfId="0" applyNumberFormat="1" applyFont="1" applyProtection="1">
      <protection hidden="1"/>
    </xf>
    <xf numFmtId="44" fontId="7" fillId="0" borderId="70" xfId="0" applyNumberFormat="1" applyFont="1" applyBorder="1" applyAlignment="1" applyProtection="1">
      <alignment horizontal="center"/>
      <protection hidden="1"/>
    </xf>
    <xf numFmtId="0" fontId="0" fillId="12" borderId="0" xfId="0" applyFill="1"/>
    <xf numFmtId="178" fontId="0" fillId="12" borderId="0" xfId="0" applyNumberFormat="1" applyFill="1"/>
    <xf numFmtId="44" fontId="0" fillId="12" borderId="0" xfId="1" applyFont="1" applyFill="1"/>
    <xf numFmtId="204" fontId="0" fillId="12" borderId="0" xfId="0" applyNumberFormat="1" applyFill="1"/>
    <xf numFmtId="205" fontId="0" fillId="12" borderId="0" xfId="0" applyNumberFormat="1" applyFill="1"/>
    <xf numFmtId="44" fontId="0" fillId="12" borderId="0" xfId="0" applyNumberFormat="1" applyFill="1"/>
    <xf numFmtId="44" fontId="32" fillId="3" borderId="0" xfId="0" applyNumberFormat="1" applyFont="1" applyFill="1"/>
    <xf numFmtId="206" fontId="2" fillId="0" borderId="0" xfId="3" applyNumberFormat="1" applyFont="1" applyAlignment="1" applyProtection="1">
      <alignment horizontal="center" vertical="center"/>
      <protection hidden="1"/>
    </xf>
    <xf numFmtId="0" fontId="38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16" fontId="0" fillId="5" borderId="7" xfId="0" applyNumberFormat="1" applyFill="1" applyBorder="1" applyAlignment="1" applyProtection="1">
      <alignment horizontal="center" vertical="center"/>
      <protection hidden="1"/>
    </xf>
    <xf numFmtId="178" fontId="9" fillId="5" borderId="10" xfId="0" applyNumberFormat="1" applyFont="1" applyFill="1" applyBorder="1" applyAlignment="1" applyProtection="1">
      <alignment horizontal="center" vertical="center" shrinkToFit="1"/>
      <protection hidden="1"/>
    </xf>
    <xf numFmtId="177" fontId="0" fillId="0" borderId="0" xfId="1" applyNumberFormat="1" applyFont="1" applyBorder="1" applyAlignment="1" applyProtection="1">
      <alignment horizontal="center" vertical="center"/>
      <protection hidden="1"/>
    </xf>
    <xf numFmtId="172" fontId="9" fillId="5" borderId="19" xfId="0" applyNumberFormat="1" applyFont="1" applyFill="1" applyBorder="1" applyAlignment="1" applyProtection="1">
      <alignment horizontal="center" vertical="center" wrapText="1"/>
      <protection hidden="1"/>
    </xf>
    <xf numFmtId="172" fontId="9" fillId="7" borderId="20" xfId="0" applyNumberFormat="1" applyFont="1" applyFill="1" applyBorder="1" applyAlignment="1" applyProtection="1">
      <alignment horizontal="center" vertical="center" wrapText="1"/>
      <protection hidden="1"/>
    </xf>
    <xf numFmtId="10" fontId="0" fillId="0" borderId="0" xfId="2" applyNumberFormat="1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168" fontId="9" fillId="5" borderId="18" xfId="0" applyNumberFormat="1" applyFont="1" applyFill="1" applyBorder="1" applyAlignment="1" applyProtection="1">
      <alignment horizontal="center" vertical="center" shrinkToFit="1"/>
      <protection hidden="1"/>
    </xf>
    <xf numFmtId="44" fontId="0" fillId="0" borderId="7" xfId="0" applyNumberFormat="1" applyBorder="1" applyAlignment="1" applyProtection="1">
      <alignment horizontal="center"/>
      <protection hidden="1"/>
    </xf>
    <xf numFmtId="10" fontId="0" fillId="0" borderId="0" xfId="0" applyNumberFormat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10" fontId="0" fillId="0" borderId="6" xfId="0" applyNumberFormat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1" xfId="0" applyBorder="1" applyProtection="1">
      <protection hidden="1"/>
    </xf>
    <xf numFmtId="4" fontId="0" fillId="0" borderId="0" xfId="0" applyNumberFormat="1" applyProtection="1">
      <protection hidden="1"/>
    </xf>
    <xf numFmtId="4" fontId="39" fillId="5" borderId="7" xfId="0" applyNumberFormat="1" applyFont="1" applyFill="1" applyBorder="1" applyAlignment="1" applyProtection="1">
      <alignment horizontal="center" vertical="center"/>
      <protection locked="0" hidden="1"/>
    </xf>
    <xf numFmtId="16" fontId="0" fillId="5" borderId="0" xfId="0" applyNumberFormat="1" applyFill="1" applyAlignment="1" applyProtection="1">
      <alignment horizontal="center" vertical="center"/>
      <protection hidden="1"/>
    </xf>
    <xf numFmtId="178" fontId="9" fillId="0" borderId="40" xfId="0" applyNumberFormat="1" applyFont="1" applyBorder="1" applyAlignment="1" applyProtection="1">
      <alignment horizontal="center" vertical="center"/>
      <protection hidden="1"/>
    </xf>
    <xf numFmtId="168" fontId="9" fillId="5" borderId="0" xfId="0" applyNumberFormat="1" applyFont="1" applyFill="1" applyAlignment="1" applyProtection="1">
      <alignment horizontal="center" vertical="center" shrinkToFit="1"/>
      <protection hidden="1"/>
    </xf>
    <xf numFmtId="178" fontId="9" fillId="5" borderId="0" xfId="0" applyNumberFormat="1" applyFont="1" applyFill="1" applyAlignment="1" applyProtection="1">
      <alignment horizontal="center" vertical="center" shrinkToFit="1"/>
      <protection hidden="1"/>
    </xf>
    <xf numFmtId="201" fontId="9" fillId="5" borderId="0" xfId="0" applyNumberFormat="1" applyFont="1" applyFill="1" applyAlignment="1" applyProtection="1">
      <alignment horizontal="center" vertical="center" shrinkToFit="1"/>
      <protection hidden="1"/>
    </xf>
    <xf numFmtId="178" fontId="9" fillId="5" borderId="66" xfId="0" applyNumberFormat="1" applyFont="1" applyFill="1" applyBorder="1" applyAlignment="1" applyProtection="1">
      <alignment horizontal="center" vertical="center" shrinkToFit="1"/>
      <protection hidden="1"/>
    </xf>
    <xf numFmtId="168" fontId="9" fillId="5" borderId="39" xfId="0" applyNumberFormat="1" applyFont="1" applyFill="1" applyBorder="1" applyAlignment="1" applyProtection="1">
      <alignment horizontal="center" vertical="center" shrinkToFit="1"/>
      <protection hidden="1"/>
    </xf>
    <xf numFmtId="0" fontId="9" fillId="5" borderId="81" xfId="0" applyFont="1" applyFill="1" applyBorder="1" applyAlignment="1" applyProtection="1">
      <alignment horizontal="center" vertical="center" shrinkToFit="1"/>
      <protection hidden="1"/>
    </xf>
    <xf numFmtId="0" fontId="9" fillId="5" borderId="66" xfId="0" applyFont="1" applyFill="1" applyBorder="1" applyAlignment="1" applyProtection="1">
      <alignment horizontal="center" vertical="center" shrinkToFit="1"/>
      <protection hidden="1"/>
    </xf>
    <xf numFmtId="0" fontId="9" fillId="5" borderId="14" xfId="0" applyFont="1" applyFill="1" applyBorder="1" applyAlignment="1" applyProtection="1">
      <alignment horizontal="center" vertical="center" shrinkToFit="1"/>
      <protection hidden="1"/>
    </xf>
    <xf numFmtId="178" fontId="9" fillId="5" borderId="13" xfId="0" applyNumberFormat="1" applyFont="1" applyFill="1" applyBorder="1" applyAlignment="1" applyProtection="1">
      <alignment horizontal="center" vertical="center" shrinkToFit="1"/>
      <protection hidden="1"/>
    </xf>
    <xf numFmtId="207" fontId="9" fillId="7" borderId="13" xfId="0" applyNumberFormat="1" applyFont="1" applyFill="1" applyBorder="1" applyAlignment="1" applyProtection="1">
      <alignment horizontal="center" vertical="center" shrinkToFit="1"/>
      <protection hidden="1"/>
    </xf>
    <xf numFmtId="168" fontId="9" fillId="5" borderId="8" xfId="0" applyNumberFormat="1" applyFont="1" applyFill="1" applyBorder="1" applyAlignment="1" applyProtection="1">
      <alignment horizontal="center" vertical="center" shrinkToFit="1"/>
      <protection hidden="1"/>
    </xf>
    <xf numFmtId="168" fontId="9" fillId="7" borderId="8" xfId="0" applyNumberFormat="1" applyFont="1" applyFill="1" applyBorder="1" applyAlignment="1" applyProtection="1">
      <alignment horizontal="center" vertical="center" shrinkToFit="1"/>
      <protection hidden="1"/>
    </xf>
    <xf numFmtId="178" fontId="9" fillId="7" borderId="0" xfId="0" applyNumberFormat="1" applyFont="1" applyFill="1" applyAlignment="1" applyProtection="1">
      <alignment horizontal="center" vertical="center" shrinkToFit="1"/>
      <protection hidden="1"/>
    </xf>
    <xf numFmtId="44" fontId="9" fillId="0" borderId="12" xfId="0" applyNumberFormat="1" applyFont="1" applyBorder="1" applyAlignment="1" applyProtection="1">
      <alignment horizontal="center" vertical="center"/>
      <protection hidden="1"/>
    </xf>
    <xf numFmtId="44" fontId="9" fillId="7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166" fontId="0" fillId="5" borderId="0" xfId="0" applyNumberFormat="1" applyFill="1" applyAlignment="1" applyProtection="1">
      <alignment horizontal="center" vertical="center"/>
      <protection hidden="1"/>
    </xf>
    <xf numFmtId="178" fontId="9" fillId="5" borderId="0" xfId="0" applyNumberFormat="1" applyFont="1" applyFill="1" applyAlignment="1" applyProtection="1">
      <alignment vertical="center" shrinkToFit="1"/>
      <protection hidden="1"/>
    </xf>
    <xf numFmtId="44" fontId="40" fillId="3" borderId="10" xfId="1" applyFont="1" applyFill="1" applyBorder="1" applyAlignment="1" applyProtection="1">
      <alignment vertical="center"/>
      <protection locked="0" hidden="1"/>
    </xf>
    <xf numFmtId="10" fontId="40" fillId="3" borderId="10" xfId="2" applyNumberFormat="1" applyFont="1" applyFill="1" applyBorder="1" applyAlignment="1" applyProtection="1">
      <alignment vertical="center"/>
      <protection locked="0" hidden="1"/>
    </xf>
    <xf numFmtId="10" fontId="39" fillId="3" borderId="10" xfId="2" applyNumberFormat="1" applyFont="1" applyFill="1" applyBorder="1" applyAlignment="1" applyProtection="1">
      <alignment vertical="center"/>
      <protection locked="0" hidden="1"/>
    </xf>
    <xf numFmtId="175" fontId="0" fillId="7" borderId="10" xfId="0" applyNumberFormat="1" applyFill="1" applyBorder="1" applyAlignment="1" applyProtection="1">
      <alignment vertical="center" shrinkToFit="1"/>
      <protection hidden="1"/>
    </xf>
    <xf numFmtId="168" fontId="9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0" fillId="0" borderId="51" xfId="0" applyBorder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9" fontId="0" fillId="5" borderId="0" xfId="0" applyNumberFormat="1" applyFill="1" applyAlignment="1" applyProtection="1">
      <alignment horizontal="center" vertical="center"/>
      <protection hidden="1"/>
    </xf>
    <xf numFmtId="0" fontId="38" fillId="0" borderId="51" xfId="0" applyFont="1" applyBorder="1" applyProtection="1">
      <protection hidden="1"/>
    </xf>
    <xf numFmtId="4" fontId="39" fillId="5" borderId="0" xfId="0" applyNumberFormat="1" applyFont="1" applyFill="1" applyAlignment="1" applyProtection="1">
      <alignment horizontal="center" vertical="center"/>
      <protection locked="0" hidden="1"/>
    </xf>
    <xf numFmtId="44" fontId="0" fillId="0" borderId="82" xfId="0" applyNumberFormat="1" applyBorder="1" applyAlignment="1" applyProtection="1">
      <alignment horizontal="center"/>
      <protection hidden="1"/>
    </xf>
    <xf numFmtId="168" fontId="9" fillId="5" borderId="18" xfId="0" applyNumberFormat="1" applyFont="1" applyFill="1" applyBorder="1" applyAlignment="1" applyProtection="1">
      <alignment vertical="center" shrinkToFit="1"/>
      <protection hidden="1"/>
    </xf>
    <xf numFmtId="0" fontId="0" fillId="0" borderId="7" xfId="0" applyBorder="1" applyProtection="1">
      <protection hidden="1"/>
    </xf>
    <xf numFmtId="166" fontId="0" fillId="5" borderId="18" xfId="0" applyNumberFormat="1" applyFill="1" applyBorder="1" applyAlignment="1" applyProtection="1">
      <alignment vertical="center"/>
      <protection hidden="1"/>
    </xf>
    <xf numFmtId="44" fontId="0" fillId="5" borderId="7" xfId="0" applyNumberFormat="1" applyFill="1" applyBorder="1" applyProtection="1">
      <protection hidden="1"/>
    </xf>
    <xf numFmtId="44" fontId="0" fillId="5" borderId="7" xfId="0" applyNumberFormat="1" applyFill="1" applyBorder="1" applyAlignment="1" applyProtection="1">
      <alignment horizontal="center"/>
      <protection hidden="1"/>
    </xf>
    <xf numFmtId="44" fontId="9" fillId="5" borderId="7" xfId="0" applyNumberFormat="1" applyFont="1" applyFill="1" applyBorder="1" applyAlignment="1" applyProtection="1">
      <alignment horizontal="center"/>
      <protection hidden="1"/>
    </xf>
    <xf numFmtId="7" fontId="0" fillId="5" borderId="7" xfId="0" applyNumberFormat="1" applyFill="1" applyBorder="1" applyAlignment="1" applyProtection="1">
      <alignment horizontal="center"/>
      <protection hidden="1"/>
    </xf>
    <xf numFmtId="172" fontId="7" fillId="7" borderId="13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6" xfId="0" applyNumberFormat="1" applyFont="1" applyFill="1" applyBorder="1" applyAlignment="1" applyProtection="1">
      <alignment horizontal="center" vertical="center" wrapText="1"/>
      <protection hidden="1"/>
    </xf>
    <xf numFmtId="184" fontId="0" fillId="0" borderId="8" xfId="0" applyNumberFormat="1" applyBorder="1" applyAlignment="1" applyProtection="1">
      <alignment horizontal="center"/>
      <protection hidden="1"/>
    </xf>
    <xf numFmtId="4" fontId="43" fillId="5" borderId="0" xfId="0" applyNumberFormat="1" applyFont="1" applyFill="1" applyAlignment="1" applyProtection="1">
      <alignment horizontal="center" vertical="center"/>
      <protection locked="0" hidden="1"/>
    </xf>
    <xf numFmtId="0" fontId="46" fillId="0" borderId="8" xfId="0" applyFont="1" applyBorder="1"/>
    <xf numFmtId="0" fontId="46" fillId="0" borderId="0" xfId="0" applyFont="1"/>
    <xf numFmtId="0" fontId="46" fillId="0" borderId="7" xfId="0" applyFont="1" applyBorder="1"/>
    <xf numFmtId="0" fontId="46" fillId="0" borderId="14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46" fillId="0" borderId="7" xfId="0" applyFont="1" applyBorder="1" applyAlignment="1">
      <alignment horizontal="left"/>
    </xf>
    <xf numFmtId="0" fontId="46" fillId="0" borderId="8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9" fillId="7" borderId="0" xfId="0" applyFont="1" applyFill="1" applyAlignment="1" applyProtection="1">
      <alignment horizontal="center" vertical="center" shrinkToFit="1"/>
      <protection hidden="1"/>
    </xf>
    <xf numFmtId="168" fontId="43" fillId="5" borderId="10" xfId="0" applyNumberFormat="1" applyFont="1" applyFill="1" applyBorder="1" applyAlignment="1" applyProtection="1">
      <alignment horizontal="center" vertical="center" shrinkToFit="1"/>
      <protection hidden="1"/>
    </xf>
    <xf numFmtId="172" fontId="43" fillId="5" borderId="10" xfId="0" applyNumberFormat="1" applyFont="1" applyFill="1" applyBorder="1" applyAlignment="1" applyProtection="1">
      <alignment horizontal="center" vertical="center" shrinkToFit="1"/>
      <protection hidden="1"/>
    </xf>
    <xf numFmtId="168" fontId="7" fillId="4" borderId="0" xfId="0" applyNumberFormat="1" applyFont="1" applyFill="1" applyAlignment="1" applyProtection="1">
      <alignment horizontal="center" vertical="center"/>
      <protection hidden="1"/>
    </xf>
    <xf numFmtId="178" fontId="7" fillId="4" borderId="0" xfId="0" applyNumberFormat="1" applyFont="1" applyFill="1" applyAlignment="1" applyProtection="1">
      <alignment horizontal="center" vertical="center" shrinkToFit="1"/>
      <protection hidden="1"/>
    </xf>
    <xf numFmtId="178" fontId="2" fillId="4" borderId="0" xfId="0" applyNumberFormat="1" applyFont="1" applyFill="1" applyAlignment="1" applyProtection="1">
      <alignment horizontal="center" vertical="center" shrinkToFit="1"/>
      <protection hidden="1"/>
    </xf>
    <xf numFmtId="180" fontId="7" fillId="4" borderId="0" xfId="0" applyNumberFormat="1" applyFont="1" applyFill="1" applyAlignment="1" applyProtection="1">
      <alignment horizontal="center" vertical="center" shrinkToFit="1"/>
      <protection hidden="1"/>
    </xf>
    <xf numFmtId="168" fontId="7" fillId="5" borderId="13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" xfId="0" applyNumberFormat="1" applyFont="1" applyFill="1" applyBorder="1" applyAlignment="1" applyProtection="1">
      <alignment horizontal="center" vertical="center" shrinkToFit="1"/>
      <protection hidden="1"/>
    </xf>
    <xf numFmtId="178" fontId="2" fillId="0" borderId="0" xfId="0" applyNumberFormat="1" applyFont="1" applyAlignment="1" applyProtection="1">
      <alignment horizontal="center" vertical="center"/>
      <protection hidden="1"/>
    </xf>
    <xf numFmtId="181" fontId="8" fillId="6" borderId="0" xfId="0" applyNumberFormat="1" applyFont="1" applyFill="1" applyAlignment="1" applyProtection="1">
      <alignment horizontal="center" vertical="center"/>
      <protection hidden="1"/>
    </xf>
    <xf numFmtId="10" fontId="39" fillId="3" borderId="0" xfId="2" applyNumberFormat="1" applyFont="1" applyFill="1" applyBorder="1" applyAlignment="1" applyProtection="1">
      <alignment vertical="center"/>
      <protection locked="0" hidden="1"/>
    </xf>
    <xf numFmtId="10" fontId="40" fillId="3" borderId="0" xfId="2" applyNumberFormat="1" applyFont="1" applyFill="1" applyBorder="1" applyAlignment="1" applyProtection="1">
      <alignment vertical="center"/>
      <protection locked="0" hidden="1"/>
    </xf>
    <xf numFmtId="213" fontId="43" fillId="5" borderId="10" xfId="0" applyNumberFormat="1" applyFont="1" applyFill="1" applyBorder="1" applyAlignment="1" applyProtection="1">
      <alignment horizontal="center" vertical="center" shrinkToFit="1"/>
      <protection hidden="1"/>
    </xf>
    <xf numFmtId="0" fontId="7" fillId="7" borderId="0" xfId="0" applyFont="1" applyFill="1" applyAlignment="1" applyProtection="1">
      <alignment horizontal="center" vertical="center"/>
      <protection hidden="1"/>
    </xf>
    <xf numFmtId="178" fontId="2" fillId="7" borderId="0" xfId="0" applyNumberFormat="1" applyFont="1" applyFill="1" applyAlignment="1" applyProtection="1">
      <alignment horizontal="center" vertical="center"/>
      <protection hidden="1"/>
    </xf>
    <xf numFmtId="182" fontId="7" fillId="7" borderId="0" xfId="0" applyNumberFormat="1" applyFont="1" applyFill="1" applyAlignment="1" applyProtection="1">
      <alignment horizontal="center" vertical="center" shrinkToFit="1"/>
      <protection hidden="1"/>
    </xf>
    <xf numFmtId="182" fontId="2" fillId="7" borderId="0" xfId="0" applyNumberFormat="1" applyFont="1" applyFill="1" applyAlignment="1" applyProtection="1">
      <alignment horizontal="center" vertical="center" shrinkToFit="1"/>
      <protection hidden="1"/>
    </xf>
    <xf numFmtId="175" fontId="6" fillId="3" borderId="0" xfId="0" applyNumberFormat="1" applyFont="1" applyFill="1" applyAlignment="1" applyProtection="1">
      <alignment horizontal="center" vertical="center" shrinkToFit="1"/>
      <protection hidden="1"/>
    </xf>
    <xf numFmtId="185" fontId="6" fillId="3" borderId="0" xfId="0" applyNumberFormat="1" applyFont="1" applyFill="1" applyAlignment="1" applyProtection="1">
      <alignment horizontal="center" vertical="center" shrinkToFit="1"/>
      <protection hidden="1"/>
    </xf>
    <xf numFmtId="44" fontId="9" fillId="0" borderId="40" xfId="1" applyFont="1" applyBorder="1" applyAlignment="1" applyProtection="1">
      <alignment horizontal="center" vertical="center"/>
      <protection hidden="1"/>
    </xf>
    <xf numFmtId="214" fontId="9" fillId="7" borderId="0" xfId="0" applyNumberFormat="1" applyFont="1" applyFill="1" applyAlignment="1" applyProtection="1">
      <alignment horizontal="center" vertical="center" shrinkToFit="1"/>
      <protection hidden="1"/>
    </xf>
    <xf numFmtId="215" fontId="9" fillId="7" borderId="0" xfId="0" applyNumberFormat="1" applyFont="1" applyFill="1" applyAlignment="1" applyProtection="1">
      <alignment horizontal="center" vertical="center" shrinkToFit="1"/>
      <protection hidden="1"/>
    </xf>
    <xf numFmtId="0" fontId="0" fillId="0" borderId="18" xfId="0" applyBorder="1" applyProtection="1">
      <protection hidden="1"/>
    </xf>
    <xf numFmtId="0" fontId="38" fillId="0" borderId="2" xfId="0" applyFont="1" applyBorder="1" applyProtection="1">
      <protection hidden="1"/>
    </xf>
    <xf numFmtId="208" fontId="9" fillId="5" borderId="84" xfId="0" applyNumberFormat="1" applyFont="1" applyFill="1" applyBorder="1" applyAlignment="1" applyProtection="1">
      <alignment horizontal="center" vertical="center" shrinkToFit="1"/>
      <protection hidden="1"/>
    </xf>
    <xf numFmtId="174" fontId="9" fillId="5" borderId="81" xfId="0" applyNumberFormat="1" applyFont="1" applyFill="1" applyBorder="1" applyAlignment="1" applyProtection="1">
      <alignment horizontal="center" vertical="center"/>
      <protection hidden="1"/>
    </xf>
    <xf numFmtId="0" fontId="0" fillId="0" borderId="67" xfId="0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209" fontId="9" fillId="5" borderId="9" xfId="0" applyNumberFormat="1" applyFont="1" applyFill="1" applyBorder="1" applyAlignment="1" applyProtection="1">
      <alignment horizontal="center" vertical="center" shrinkToFit="1"/>
      <protection hidden="1"/>
    </xf>
    <xf numFmtId="212" fontId="9" fillId="5" borderId="9" xfId="0" applyNumberFormat="1" applyFont="1" applyFill="1" applyBorder="1" applyAlignment="1" applyProtection="1">
      <alignment horizontal="center" vertical="center" shrinkToFit="1"/>
      <protection hidden="1"/>
    </xf>
    <xf numFmtId="173" fontId="0" fillId="0" borderId="39" xfId="1" applyNumberFormat="1" applyFont="1" applyBorder="1" applyAlignment="1" applyProtection="1">
      <alignment horizontal="center" vertical="center"/>
      <protection hidden="1"/>
    </xf>
    <xf numFmtId="211" fontId="0" fillId="0" borderId="1" xfId="0" applyNumberFormat="1" applyBorder="1" applyProtection="1">
      <protection hidden="1"/>
    </xf>
    <xf numFmtId="2" fontId="0" fillId="0" borderId="10" xfId="0" applyNumberFormat="1" applyBorder="1" applyAlignment="1" applyProtection="1">
      <alignment horizontal="center"/>
      <protection hidden="1"/>
    </xf>
    <xf numFmtId="0" fontId="0" fillId="5" borderId="85" xfId="0" applyFill="1" applyBorder="1" applyProtection="1">
      <protection hidden="1"/>
    </xf>
    <xf numFmtId="2" fontId="0" fillId="5" borderId="16" xfId="0" applyNumberFormat="1" applyFill="1" applyBorder="1" applyAlignment="1" applyProtection="1">
      <alignment horizontal="center"/>
      <protection hidden="1"/>
    </xf>
    <xf numFmtId="173" fontId="40" fillId="3" borderId="0" xfId="1" applyNumberFormat="1" applyFont="1" applyFill="1" applyBorder="1" applyAlignment="1" applyProtection="1">
      <alignment horizontal="center" vertical="center"/>
      <protection locked="0" hidden="1"/>
    </xf>
    <xf numFmtId="217" fontId="40" fillId="3" borderId="0" xfId="1" applyNumberFormat="1" applyFont="1" applyFill="1" applyBorder="1" applyAlignment="1" applyProtection="1">
      <alignment horizontal="center" vertical="center"/>
      <protection locked="0" hidden="1"/>
    </xf>
    <xf numFmtId="0" fontId="38" fillId="0" borderId="51" xfId="0" applyFont="1" applyBorder="1" applyAlignment="1" applyProtection="1">
      <alignment horizontal="center"/>
      <protection hidden="1"/>
    </xf>
    <xf numFmtId="0" fontId="38" fillId="0" borderId="0" xfId="0" applyFont="1" applyAlignment="1" applyProtection="1">
      <alignment horizontal="center"/>
      <protection hidden="1"/>
    </xf>
    <xf numFmtId="178" fontId="38" fillId="5" borderId="0" xfId="0" applyNumberFormat="1" applyFont="1" applyFill="1" applyAlignment="1" applyProtection="1">
      <alignment horizontal="center" vertical="center" shrinkToFit="1"/>
      <protection hidden="1"/>
    </xf>
    <xf numFmtId="184" fontId="9" fillId="5" borderId="10" xfId="1" applyNumberFormat="1" applyFont="1" applyFill="1" applyBorder="1" applyAlignment="1" applyProtection="1">
      <alignment horizontal="center" vertical="center" shrinkToFit="1"/>
      <protection hidden="1"/>
    </xf>
    <xf numFmtId="44" fontId="40" fillId="3" borderId="10" xfId="1" applyFont="1" applyFill="1" applyBorder="1" applyAlignment="1" applyProtection="1">
      <alignment horizontal="center" vertical="center"/>
      <protection locked="0" hidden="1"/>
    </xf>
    <xf numFmtId="184" fontId="9" fillId="5" borderId="10" xfId="0" applyNumberFormat="1" applyFont="1" applyFill="1" applyBorder="1" applyAlignment="1" applyProtection="1">
      <alignment horizontal="center" vertical="center" shrinkToFit="1"/>
      <protection hidden="1"/>
    </xf>
    <xf numFmtId="44" fontId="40" fillId="3" borderId="66" xfId="1" applyFont="1" applyFill="1" applyBorder="1" applyAlignment="1" applyProtection="1">
      <alignment horizontal="center" vertical="center"/>
      <protection locked="0" hidden="1"/>
    </xf>
    <xf numFmtId="201" fontId="9" fillId="5" borderId="67" xfId="0" applyNumberFormat="1" applyFont="1" applyFill="1" applyBorder="1" applyAlignment="1" applyProtection="1">
      <alignment horizontal="center" vertical="center" shrinkToFit="1"/>
      <protection hidden="1"/>
    </xf>
    <xf numFmtId="201" fontId="9" fillId="5" borderId="9" xfId="0" applyNumberFormat="1" applyFont="1" applyFill="1" applyBorder="1" applyAlignment="1" applyProtection="1">
      <alignment horizontal="center" vertical="center" shrinkToFit="1"/>
      <protection hidden="1"/>
    </xf>
    <xf numFmtId="44" fontId="40" fillId="3" borderId="4" xfId="1" applyFont="1" applyFill="1" applyBorder="1" applyAlignment="1" applyProtection="1">
      <alignment horizontal="center" vertical="center"/>
      <protection locked="0" hidden="1"/>
    </xf>
    <xf numFmtId="210" fontId="43" fillId="5" borderId="4" xfId="0" applyNumberFormat="1" applyFont="1" applyFill="1" applyBorder="1" applyAlignment="1" applyProtection="1">
      <alignment horizontal="center" vertical="center" shrinkToFit="1"/>
      <protection hidden="1"/>
    </xf>
    <xf numFmtId="210" fontId="9" fillId="5" borderId="4" xfId="0" applyNumberFormat="1" applyFont="1" applyFill="1" applyBorder="1" applyAlignment="1" applyProtection="1">
      <alignment horizontal="center" vertical="center" shrinkToFit="1"/>
      <protection hidden="1"/>
    </xf>
    <xf numFmtId="184" fontId="9" fillId="5" borderId="4" xfId="1" applyNumberFormat="1" applyFont="1" applyFill="1" applyBorder="1" applyAlignment="1" applyProtection="1">
      <alignment horizontal="center" vertical="center" shrinkToFit="1"/>
      <protection hidden="1"/>
    </xf>
    <xf numFmtId="201" fontId="9" fillId="5" borderId="3" xfId="0" applyNumberFormat="1" applyFont="1" applyFill="1" applyBorder="1" applyAlignment="1" applyProtection="1">
      <alignment horizontal="center" vertical="center" shrinkToFit="1"/>
      <protection hidden="1"/>
    </xf>
    <xf numFmtId="218" fontId="9" fillId="7" borderId="0" xfId="0" applyNumberFormat="1" applyFont="1" applyFill="1" applyAlignment="1" applyProtection="1">
      <alignment horizontal="center" vertical="center" shrinkToFit="1"/>
      <protection hidden="1"/>
    </xf>
    <xf numFmtId="178" fontId="0" fillId="0" borderId="0" xfId="0" applyNumberFormat="1" applyProtection="1">
      <protection hidden="1"/>
    </xf>
    <xf numFmtId="9" fontId="0" fillId="0" borderId="0" xfId="2" applyFont="1" applyProtection="1">
      <protection hidden="1"/>
    </xf>
    <xf numFmtId="2" fontId="8" fillId="6" borderId="10" xfId="0" applyNumberFormat="1" applyFont="1" applyFill="1" applyBorder="1" applyAlignment="1" applyProtection="1">
      <alignment horizontal="center" vertical="center"/>
      <protection locked="0" hidden="1"/>
    </xf>
    <xf numFmtId="184" fontId="0" fillId="0" borderId="0" xfId="2" applyNumberFormat="1" applyFont="1" applyProtection="1">
      <protection hidden="1"/>
    </xf>
    <xf numFmtId="7" fontId="2" fillId="0" borderId="0" xfId="0" applyNumberFormat="1" applyFont="1" applyAlignment="1" applyProtection="1">
      <alignment horizontal="center"/>
      <protection hidden="1"/>
    </xf>
    <xf numFmtId="44" fontId="2" fillId="5" borderId="0" xfId="1" applyFont="1" applyFill="1" applyAlignment="1" applyProtection="1">
      <alignment horizontal="center" vertical="center"/>
      <protection hidden="1"/>
    </xf>
    <xf numFmtId="168" fontId="7" fillId="4" borderId="25" xfId="0" applyNumberFormat="1" applyFont="1" applyFill="1" applyBorder="1" applyAlignment="1" applyProtection="1">
      <alignment vertical="center"/>
      <protection hidden="1"/>
    </xf>
    <xf numFmtId="44" fontId="7" fillId="0" borderId="0" xfId="0" applyNumberFormat="1" applyFont="1" applyAlignment="1" applyProtection="1">
      <alignment horizontal="center"/>
      <protection hidden="1"/>
    </xf>
    <xf numFmtId="44" fontId="8" fillId="3" borderId="10" xfId="1" applyFont="1" applyFill="1" applyBorder="1" applyAlignment="1" applyProtection="1">
      <alignment horizontal="center" vertical="center"/>
      <protection locked="0" hidden="1"/>
    </xf>
    <xf numFmtId="44" fontId="6" fillId="3" borderId="10" xfId="1" applyFont="1" applyFill="1" applyBorder="1" applyAlignment="1" applyProtection="1">
      <alignment horizontal="center" vertical="center"/>
      <protection locked="0" hidden="1"/>
    </xf>
    <xf numFmtId="44" fontId="8" fillId="3" borderId="66" xfId="1" applyFont="1" applyFill="1" applyBorder="1" applyAlignment="1" applyProtection="1">
      <alignment horizontal="center" vertical="center"/>
      <protection locked="0" hidden="1"/>
    </xf>
    <xf numFmtId="44" fontId="7" fillId="0" borderId="67" xfId="1" applyFont="1" applyBorder="1" applyAlignment="1" applyProtection="1">
      <alignment horizontal="center"/>
      <protection hidden="1"/>
    </xf>
    <xf numFmtId="44" fontId="7" fillId="0" borderId="9" xfId="1" applyFont="1" applyBorder="1" applyAlignment="1" applyProtection="1">
      <alignment horizontal="center"/>
      <protection hidden="1"/>
    </xf>
    <xf numFmtId="44" fontId="7" fillId="0" borderId="9" xfId="0" applyNumberFormat="1" applyFont="1" applyBorder="1" applyAlignment="1" applyProtection="1">
      <alignment horizontal="center"/>
      <protection hidden="1"/>
    </xf>
    <xf numFmtId="44" fontId="2" fillId="0" borderId="9" xfId="0" applyNumberFormat="1" applyFont="1" applyBorder="1" applyAlignment="1" applyProtection="1">
      <alignment horizontal="center"/>
      <protection hidden="1"/>
    </xf>
    <xf numFmtId="10" fontId="6" fillId="3" borderId="4" xfId="2" applyNumberFormat="1" applyFont="1" applyFill="1" applyBorder="1" applyAlignment="1" applyProtection="1">
      <alignment horizontal="center" vertical="center"/>
      <protection locked="0" hidden="1"/>
    </xf>
    <xf numFmtId="44" fontId="2" fillId="0" borderId="3" xfId="0" applyNumberFormat="1" applyFont="1" applyBorder="1" applyAlignment="1" applyProtection="1">
      <alignment horizontal="center"/>
      <protection hidden="1"/>
    </xf>
    <xf numFmtId="219" fontId="7" fillId="0" borderId="81" xfId="2" applyNumberFormat="1" applyFont="1" applyFill="1" applyBorder="1" applyAlignment="1" applyProtection="1">
      <alignment horizontal="center" vertical="center"/>
      <protection hidden="1"/>
    </xf>
    <xf numFmtId="219" fontId="7" fillId="0" borderId="18" xfId="2" applyNumberFormat="1" applyFont="1" applyFill="1" applyBorder="1" applyAlignment="1" applyProtection="1">
      <alignment horizontal="center" vertical="center"/>
      <protection hidden="1"/>
    </xf>
    <xf numFmtId="220" fontId="7" fillId="0" borderId="18" xfId="2" applyNumberFormat="1" applyFont="1" applyFill="1" applyBorder="1" applyAlignment="1" applyProtection="1">
      <alignment horizontal="center" vertical="center"/>
      <protection hidden="1"/>
    </xf>
    <xf numFmtId="172" fontId="7" fillId="0" borderId="18" xfId="2" applyNumberFormat="1" applyFont="1" applyFill="1" applyBorder="1" applyAlignment="1" applyProtection="1">
      <alignment horizontal="center" vertical="center"/>
      <protection hidden="1"/>
    </xf>
    <xf numFmtId="176" fontId="7" fillId="0" borderId="18" xfId="0" applyNumberFormat="1" applyFont="1" applyBorder="1" applyAlignment="1" applyProtection="1">
      <alignment horizontal="center" vertical="center"/>
      <protection hidden="1"/>
    </xf>
    <xf numFmtId="183" fontId="2" fillId="0" borderId="18" xfId="0" applyNumberFormat="1" applyFont="1" applyBorder="1" applyAlignment="1" applyProtection="1">
      <alignment horizontal="center" vertical="center"/>
      <protection hidden="1"/>
    </xf>
    <xf numFmtId="166" fontId="2" fillId="0" borderId="39" xfId="0" applyNumberFormat="1" applyFont="1" applyBorder="1" applyAlignment="1" applyProtection="1">
      <alignment horizontal="center" vertical="center"/>
      <protection hidden="1"/>
    </xf>
    <xf numFmtId="178" fontId="49" fillId="4" borderId="86" xfId="0" applyNumberFormat="1" applyFont="1" applyFill="1" applyBorder="1" applyAlignment="1" applyProtection="1">
      <alignment horizontal="center" vertical="center" shrinkToFit="1"/>
      <protection hidden="1"/>
    </xf>
    <xf numFmtId="178" fontId="49" fillId="4" borderId="87" xfId="0" applyNumberFormat="1" applyFont="1" applyFill="1" applyBorder="1" applyAlignment="1" applyProtection="1">
      <alignment horizontal="center" vertical="center" shrinkToFit="1"/>
      <protection hidden="1"/>
    </xf>
    <xf numFmtId="178" fontId="35" fillId="4" borderId="87" xfId="0" applyNumberFormat="1" applyFont="1" applyFill="1" applyBorder="1" applyAlignment="1" applyProtection="1">
      <alignment horizontal="center" vertical="center" shrinkToFit="1"/>
      <protection hidden="1"/>
    </xf>
    <xf numFmtId="178" fontId="7" fillId="0" borderId="0" xfId="2" applyNumberFormat="1" applyFont="1" applyBorder="1" applyAlignment="1" applyProtection="1">
      <alignment horizontal="center" vertical="center"/>
      <protection hidden="1"/>
    </xf>
    <xf numFmtId="178" fontId="2" fillId="0" borderId="67" xfId="0" applyNumberFormat="1" applyFont="1" applyBorder="1" applyAlignment="1" applyProtection="1">
      <alignment horizontal="center" vertical="center"/>
      <protection hidden="1"/>
    </xf>
    <xf numFmtId="2" fontId="49" fillId="4" borderId="3" xfId="0" applyNumberFormat="1" applyFont="1" applyFill="1" applyBorder="1" applyAlignment="1" applyProtection="1">
      <alignment horizontal="center" vertical="center"/>
      <protection locked="0" hidden="1"/>
    </xf>
    <xf numFmtId="182" fontId="7" fillId="7" borderId="1" xfId="0" applyNumberFormat="1" applyFont="1" applyFill="1" applyBorder="1" applyAlignment="1" applyProtection="1">
      <alignment horizontal="center" vertical="center"/>
      <protection hidden="1"/>
    </xf>
    <xf numFmtId="184" fontId="6" fillId="3" borderId="13" xfId="1" applyNumberFormat="1" applyFont="1" applyFill="1" applyBorder="1" applyAlignment="1" applyProtection="1">
      <alignment horizontal="center" vertical="center"/>
      <protection locked="0" hidden="1"/>
    </xf>
    <xf numFmtId="190" fontId="6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0" fontId="6" fillId="3" borderId="0" xfId="1" applyNumberFormat="1" applyFont="1" applyFill="1" applyBorder="1" applyAlignment="1" applyProtection="1">
      <alignment horizontal="center" vertical="center"/>
      <protection locked="0" hidden="1"/>
    </xf>
    <xf numFmtId="9" fontId="0" fillId="0" borderId="0" xfId="0" applyNumberFormat="1" applyProtection="1">
      <protection hidden="1"/>
    </xf>
    <xf numFmtId="44" fontId="7" fillId="0" borderId="89" xfId="0" applyNumberFormat="1" applyFont="1" applyBorder="1" applyAlignment="1" applyProtection="1">
      <alignment horizontal="center"/>
      <protection hidden="1"/>
    </xf>
    <xf numFmtId="9" fontId="2" fillId="7" borderId="11" xfId="2" applyFont="1" applyFill="1" applyBorder="1" applyAlignment="1" applyProtection="1">
      <alignment horizontal="center" vertical="center"/>
      <protection hidden="1"/>
    </xf>
    <xf numFmtId="44" fontId="7" fillId="0" borderId="90" xfId="0" applyNumberFormat="1" applyFont="1" applyBorder="1" applyAlignment="1" applyProtection="1">
      <alignment horizontal="center"/>
      <protection hidden="1"/>
    </xf>
    <xf numFmtId="166" fontId="2" fillId="5" borderId="35" xfId="0" applyNumberFormat="1" applyFont="1" applyFill="1" applyBorder="1" applyAlignment="1" applyProtection="1">
      <alignment horizontal="center" vertical="center"/>
      <protection hidden="1"/>
    </xf>
    <xf numFmtId="9" fontId="2" fillId="5" borderId="36" xfId="0" applyNumberFormat="1" applyFont="1" applyFill="1" applyBorder="1" applyAlignment="1" applyProtection="1">
      <alignment horizontal="center"/>
      <protection hidden="1"/>
    </xf>
    <xf numFmtId="44" fontId="2" fillId="0" borderId="36" xfId="1" applyFont="1" applyBorder="1" applyAlignment="1" applyProtection="1">
      <alignment horizontal="center"/>
      <protection hidden="1"/>
    </xf>
    <xf numFmtId="16" fontId="2" fillId="5" borderId="14" xfId="0" applyNumberFormat="1" applyFont="1" applyFill="1" applyBorder="1" applyAlignment="1" applyProtection="1">
      <alignment horizontal="center" vertical="center"/>
      <protection hidden="1"/>
    </xf>
    <xf numFmtId="16" fontId="2" fillId="5" borderId="13" xfId="0" applyNumberFormat="1" applyFont="1" applyFill="1" applyBorder="1" applyAlignment="1" applyProtection="1">
      <alignment horizontal="center" vertical="center"/>
      <protection hidden="1"/>
    </xf>
    <xf numFmtId="0" fontId="2" fillId="5" borderId="13" xfId="0" applyFont="1" applyFill="1" applyBorder="1" applyAlignment="1" applyProtection="1">
      <alignment horizontal="center"/>
      <protection hidden="1"/>
    </xf>
    <xf numFmtId="0" fontId="2" fillId="5" borderId="12" xfId="0" applyFont="1" applyFill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168" fontId="7" fillId="0" borderId="8" xfId="0" applyNumberFormat="1" applyFont="1" applyBorder="1" applyAlignment="1" applyProtection="1">
      <alignment horizontal="left" vertical="center" shrinkToFit="1"/>
      <protection hidden="1"/>
    </xf>
    <xf numFmtId="206" fontId="2" fillId="0" borderId="0" xfId="3" applyNumberFormat="1" applyFont="1" applyBorder="1" applyAlignment="1" applyProtection="1">
      <alignment horizontal="center" vertical="center"/>
      <protection hidden="1"/>
    </xf>
    <xf numFmtId="168" fontId="7" fillId="5" borderId="22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23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24" xfId="0" applyNumberFormat="1" applyFont="1" applyFill="1" applyBorder="1" applyAlignment="1" applyProtection="1">
      <alignment horizontal="center" vertical="center" shrinkToFit="1"/>
      <protection hidden="1"/>
    </xf>
    <xf numFmtId="175" fontId="6" fillId="3" borderId="34" xfId="0" applyNumberFormat="1" applyFont="1" applyFill="1" applyBorder="1" applyAlignment="1" applyProtection="1">
      <alignment horizontal="center" vertical="center" shrinkToFit="1"/>
      <protection locked="0" hidden="1"/>
    </xf>
    <xf numFmtId="175" fontId="6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68" fontId="7" fillId="5" borderId="35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36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37" xfId="0" applyNumberFormat="1" applyFont="1" applyFill="1" applyBorder="1" applyAlignment="1" applyProtection="1">
      <alignment horizontal="center" vertical="center" shrinkToFit="1"/>
      <protection hidden="1"/>
    </xf>
    <xf numFmtId="172" fontId="7" fillId="7" borderId="14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4" fontId="8" fillId="3" borderId="2" xfId="0" applyNumberFormat="1" applyFont="1" applyFill="1" applyBorder="1" applyAlignment="1" applyProtection="1">
      <alignment horizontal="center" vertical="center"/>
      <protection locked="0" hidden="1"/>
    </xf>
    <xf numFmtId="4" fontId="8" fillId="3" borderId="6" xfId="0" applyNumberFormat="1" applyFont="1" applyFill="1" applyBorder="1" applyAlignment="1" applyProtection="1">
      <alignment horizontal="center" vertical="center"/>
      <protection locked="0" hidden="1"/>
    </xf>
    <xf numFmtId="4" fontId="8" fillId="3" borderId="1" xfId="0" applyNumberFormat="1" applyFont="1" applyFill="1" applyBorder="1" applyAlignment="1" applyProtection="1">
      <alignment horizontal="center" vertical="center"/>
      <protection locked="0"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78" xfId="0" applyFont="1" applyBorder="1" applyAlignment="1" applyProtection="1">
      <alignment horizontal="center" vertical="center"/>
      <protection hidden="1"/>
    </xf>
    <xf numFmtId="0" fontId="2" fillId="0" borderId="79" xfId="0" applyFont="1" applyBorder="1" applyAlignment="1" applyProtection="1">
      <alignment horizontal="center" vertical="center"/>
      <protection hidden="1"/>
    </xf>
    <xf numFmtId="203" fontId="6" fillId="3" borderId="38" xfId="0" applyNumberFormat="1" applyFont="1" applyFill="1" applyBorder="1" applyAlignment="1" applyProtection="1">
      <alignment horizontal="center" vertical="center" shrinkToFit="1"/>
      <protection locked="0" hidden="1"/>
    </xf>
    <xf numFmtId="203" fontId="6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16" fontId="5" fillId="4" borderId="14" xfId="0" applyNumberFormat="1" applyFont="1" applyFill="1" applyBorder="1" applyAlignment="1" applyProtection="1">
      <alignment horizontal="center" vertical="center"/>
      <protection hidden="1"/>
    </xf>
    <xf numFmtId="16" fontId="5" fillId="4" borderId="13" xfId="0" applyNumberFormat="1" applyFont="1" applyFill="1" applyBorder="1" applyAlignment="1" applyProtection="1">
      <alignment horizontal="center" vertical="center"/>
      <protection hidden="1"/>
    </xf>
    <xf numFmtId="16" fontId="5" fillId="4" borderId="12" xfId="0" applyNumberFormat="1" applyFont="1" applyFill="1" applyBorder="1" applyAlignment="1" applyProtection="1">
      <alignment horizontal="center" vertical="center"/>
      <protection hidden="1"/>
    </xf>
    <xf numFmtId="16" fontId="5" fillId="4" borderId="2" xfId="0" applyNumberFormat="1" applyFont="1" applyFill="1" applyBorder="1" applyAlignment="1" applyProtection="1">
      <alignment horizontal="center" vertical="center"/>
      <protection hidden="1"/>
    </xf>
    <xf numFmtId="16" fontId="5" fillId="4" borderId="6" xfId="0" applyNumberFormat="1" applyFont="1" applyFill="1" applyBorder="1" applyAlignment="1" applyProtection="1">
      <alignment horizontal="center" vertical="center"/>
      <protection hidden="1"/>
    </xf>
    <xf numFmtId="16" fontId="5" fillId="4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8" fontId="7" fillId="5" borderId="81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6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7" xfId="0" applyNumberFormat="1" applyFont="1" applyFill="1" applyBorder="1" applyAlignment="1" applyProtection="1">
      <alignment horizontal="center" vertical="center" shrinkToFit="1"/>
      <protection hidden="1"/>
    </xf>
    <xf numFmtId="44" fontId="6" fillId="3" borderId="10" xfId="1" applyFont="1" applyFill="1" applyBorder="1" applyAlignment="1" applyProtection="1">
      <alignment horizontal="center" vertical="center" shrinkToFit="1"/>
      <protection locked="0" hidden="1"/>
    </xf>
    <xf numFmtId="44" fontId="6" fillId="3" borderId="9" xfId="1" applyFont="1" applyFill="1" applyBorder="1" applyAlignment="1" applyProtection="1">
      <alignment horizontal="center" vertical="center" shrinkToFit="1"/>
      <protection locked="0" hidden="1"/>
    </xf>
    <xf numFmtId="44" fontId="6" fillId="3" borderId="4" xfId="1" applyFont="1" applyFill="1" applyBorder="1" applyAlignment="1" applyProtection="1">
      <alignment horizontal="center" vertical="center" shrinkToFit="1"/>
      <protection locked="0" hidden="1"/>
    </xf>
    <xf numFmtId="44" fontId="6" fillId="3" borderId="3" xfId="1" applyFont="1" applyFill="1" applyBorder="1" applyAlignment="1" applyProtection="1">
      <alignment horizontal="center" vertical="center" shrinkToFit="1"/>
      <protection locked="0"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174" fontId="7" fillId="7" borderId="12" xfId="0" applyNumberFormat="1" applyFont="1" applyFill="1" applyBorder="1" applyAlignment="1" applyProtection="1">
      <alignment horizontal="center" vertical="center"/>
      <protection hidden="1"/>
    </xf>
    <xf numFmtId="7" fontId="37" fillId="2" borderId="14" xfId="0" applyNumberFormat="1" applyFont="1" applyFill="1" applyBorder="1" applyAlignment="1" applyProtection="1">
      <alignment horizontal="center" vertical="center"/>
      <protection hidden="1"/>
    </xf>
    <xf numFmtId="0" fontId="37" fillId="2" borderId="74" xfId="0" applyFont="1" applyFill="1" applyBorder="1" applyAlignment="1" applyProtection="1">
      <alignment horizontal="center" vertical="center"/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0" fontId="37" fillId="2" borderId="70" xfId="0" applyFont="1" applyFill="1" applyBorder="1" applyAlignment="1" applyProtection="1">
      <alignment horizontal="center" vertical="center"/>
      <protection hidden="1"/>
    </xf>
    <xf numFmtId="0" fontId="37" fillId="2" borderId="78" xfId="0" applyFont="1" applyFill="1" applyBorder="1" applyAlignment="1" applyProtection="1">
      <alignment horizontal="center" vertical="center"/>
      <protection hidden="1"/>
    </xf>
    <xf numFmtId="0" fontId="37" fillId="2" borderId="80" xfId="0" applyFont="1" applyFill="1" applyBorder="1" applyAlignment="1" applyProtection="1">
      <alignment horizontal="center" vertical="center"/>
      <protection hidden="1"/>
    </xf>
    <xf numFmtId="184" fontId="5" fillId="4" borderId="14" xfId="0" applyNumberFormat="1" applyFont="1" applyFill="1" applyBorder="1" applyAlignment="1" applyProtection="1">
      <alignment horizontal="center" vertical="center"/>
      <protection hidden="1"/>
    </xf>
    <xf numFmtId="184" fontId="5" fillId="4" borderId="12" xfId="0" applyNumberFormat="1" applyFont="1" applyFill="1" applyBorder="1" applyAlignment="1" applyProtection="1">
      <alignment horizontal="center" vertical="center"/>
      <protection hidden="1"/>
    </xf>
    <xf numFmtId="184" fontId="5" fillId="4" borderId="2" xfId="0" applyNumberFormat="1" applyFont="1" applyFill="1" applyBorder="1" applyAlignment="1" applyProtection="1">
      <alignment horizontal="center" vertical="center"/>
      <protection hidden="1"/>
    </xf>
    <xf numFmtId="184" fontId="5" fillId="4" borderId="1" xfId="0" applyNumberFormat="1" applyFont="1" applyFill="1" applyBorder="1" applyAlignment="1" applyProtection="1">
      <alignment horizontal="center" vertical="center"/>
      <protection hidden="1"/>
    </xf>
    <xf numFmtId="174" fontId="36" fillId="0" borderId="35" xfId="0" applyNumberFormat="1" applyFont="1" applyBorder="1" applyAlignment="1" applyProtection="1">
      <alignment horizontal="center"/>
      <protection hidden="1"/>
    </xf>
    <xf numFmtId="174" fontId="36" fillId="0" borderId="36" xfId="0" applyNumberFormat="1" applyFont="1" applyBorder="1" applyAlignment="1" applyProtection="1">
      <alignment horizontal="center"/>
      <protection hidden="1"/>
    </xf>
    <xf numFmtId="174" fontId="36" fillId="0" borderId="68" xfId="0" applyNumberFormat="1" applyFont="1" applyBorder="1" applyAlignment="1" applyProtection="1">
      <alignment horizontal="center"/>
      <protection hidden="1"/>
    </xf>
    <xf numFmtId="168" fontId="7" fillId="4" borderId="14" xfId="0" applyNumberFormat="1" applyFont="1" applyFill="1" applyBorder="1" applyAlignment="1" applyProtection="1">
      <alignment horizontal="center" vertical="center"/>
      <protection hidden="1"/>
    </xf>
    <xf numFmtId="168" fontId="7" fillId="4" borderId="13" xfId="0" applyNumberFormat="1" applyFont="1" applyFill="1" applyBorder="1" applyAlignment="1" applyProtection="1">
      <alignment horizontal="center" vertical="center"/>
      <protection hidden="1"/>
    </xf>
    <xf numFmtId="168" fontId="7" fillId="4" borderId="12" xfId="0" applyNumberFormat="1" applyFont="1" applyFill="1" applyBorder="1" applyAlignment="1" applyProtection="1">
      <alignment horizontal="center" vertical="center"/>
      <protection hidden="1"/>
    </xf>
    <xf numFmtId="0" fontId="2" fillId="0" borderId="91" xfId="0" applyFont="1" applyBorder="1" applyAlignment="1" applyProtection="1">
      <alignment horizontal="center" vertical="center"/>
      <protection hidden="1"/>
    </xf>
    <xf numFmtId="184" fontId="4" fillId="3" borderId="14" xfId="0" applyNumberFormat="1" applyFont="1" applyFill="1" applyBorder="1" applyAlignment="1" applyProtection="1">
      <alignment horizontal="center" vertical="center"/>
      <protection hidden="1"/>
    </xf>
    <xf numFmtId="184" fontId="4" fillId="3" borderId="12" xfId="0" applyNumberFormat="1" applyFont="1" applyFill="1" applyBorder="1" applyAlignment="1" applyProtection="1">
      <alignment horizontal="center" vertical="center"/>
      <protection hidden="1"/>
    </xf>
    <xf numFmtId="184" fontId="4" fillId="3" borderId="2" xfId="0" applyNumberFormat="1" applyFont="1" applyFill="1" applyBorder="1" applyAlignment="1" applyProtection="1">
      <alignment horizontal="center" vertical="center"/>
      <protection hidden="1"/>
    </xf>
    <xf numFmtId="184" fontId="4" fillId="3" borderId="1" xfId="0" applyNumberFormat="1" applyFont="1" applyFill="1" applyBorder="1" applyAlignment="1" applyProtection="1">
      <alignment horizontal="center" vertical="center"/>
      <protection hidden="1"/>
    </xf>
    <xf numFmtId="44" fontId="2" fillId="0" borderId="14" xfId="0" applyNumberFormat="1" applyFont="1" applyBorder="1" applyAlignment="1" applyProtection="1">
      <alignment horizontal="center" vertical="center"/>
      <protection hidden="1"/>
    </xf>
    <xf numFmtId="44" fontId="2" fillId="0" borderId="12" xfId="0" applyNumberFormat="1" applyFont="1" applyBorder="1" applyAlignment="1" applyProtection="1">
      <alignment horizontal="center" vertical="center"/>
      <protection hidden="1"/>
    </xf>
    <xf numFmtId="44" fontId="2" fillId="0" borderId="8" xfId="0" applyNumberFormat="1" applyFont="1" applyBorder="1" applyAlignment="1" applyProtection="1">
      <alignment horizontal="center" vertical="center"/>
      <protection hidden="1"/>
    </xf>
    <xf numFmtId="44" fontId="2" fillId="0" borderId="7" xfId="0" applyNumberFormat="1" applyFont="1" applyBorder="1" applyAlignment="1" applyProtection="1">
      <alignment horizontal="center" vertical="center"/>
      <protection hidden="1"/>
    </xf>
    <xf numFmtId="44" fontId="0" fillId="0" borderId="14" xfId="0" applyNumberFormat="1" applyBorder="1" applyAlignment="1" applyProtection="1">
      <alignment horizontal="center" vertical="center"/>
      <protection hidden="1"/>
    </xf>
    <xf numFmtId="44" fontId="0" fillId="0" borderId="12" xfId="0" applyNumberFormat="1" applyBorder="1" applyAlignment="1" applyProtection="1">
      <alignment horizontal="center" vertical="center"/>
      <protection hidden="1"/>
    </xf>
    <xf numFmtId="44" fontId="0" fillId="0" borderId="2" xfId="0" applyNumberFormat="1" applyBorder="1" applyAlignment="1" applyProtection="1">
      <alignment horizontal="center" vertical="center"/>
      <protection hidden="1"/>
    </xf>
    <xf numFmtId="44" fontId="0" fillId="0" borderId="1" xfId="0" applyNumberFormat="1" applyBorder="1" applyAlignment="1" applyProtection="1">
      <alignment horizontal="center" vertical="center"/>
      <protection hidden="1"/>
    </xf>
    <xf numFmtId="184" fontId="5" fillId="4" borderId="8" xfId="0" applyNumberFormat="1" applyFont="1" applyFill="1" applyBorder="1" applyAlignment="1" applyProtection="1">
      <alignment horizontal="center" vertical="center"/>
      <protection hidden="1"/>
    </xf>
    <xf numFmtId="184" fontId="5" fillId="4" borderId="7" xfId="0" applyNumberFormat="1" applyFont="1" applyFill="1" applyBorder="1" applyAlignment="1" applyProtection="1">
      <alignment horizontal="center" vertical="center"/>
      <protection hidden="1"/>
    </xf>
    <xf numFmtId="221" fontId="0" fillId="0" borderId="0" xfId="0" applyNumberFormat="1"/>
    <xf numFmtId="173" fontId="2" fillId="0" borderId="0" xfId="1" applyNumberFormat="1" applyFont="1" applyFill="1" applyBorder="1" applyAlignment="1" applyProtection="1">
      <alignment horizontal="center" vertical="center"/>
      <protection hidden="1"/>
    </xf>
    <xf numFmtId="1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6" xfId="0" applyBorder="1"/>
    <xf numFmtId="172" fontId="7" fillId="0" borderId="8" xfId="0" applyNumberFormat="1" applyFont="1" applyBorder="1" applyAlignment="1" applyProtection="1">
      <alignment horizontal="center" vertical="center" wrapText="1"/>
      <protection hidden="1"/>
    </xf>
    <xf numFmtId="221" fontId="0" fillId="0" borderId="12" xfId="0" applyNumberFormat="1" applyBorder="1" applyAlignment="1">
      <alignment horizontal="center"/>
    </xf>
    <xf numFmtId="221" fontId="0" fillId="0" borderId="7" xfId="0" applyNumberFormat="1" applyBorder="1" applyAlignment="1">
      <alignment horizontal="center"/>
    </xf>
    <xf numFmtId="204" fontId="0" fillId="0" borderId="1" xfId="0" applyNumberFormat="1" applyBorder="1" applyAlignment="1">
      <alignment horizontal="center"/>
    </xf>
    <xf numFmtId="172" fontId="8" fillId="0" borderId="0" xfId="0" applyNumberFormat="1" applyFont="1" applyAlignment="1" applyProtection="1">
      <alignment horizontal="center" vertical="center" shrinkToFit="1"/>
      <protection locked="0" hidden="1"/>
    </xf>
    <xf numFmtId="10" fontId="7" fillId="7" borderId="92" xfId="2" applyNumberFormat="1" applyFont="1" applyFill="1" applyBorder="1" applyAlignment="1" applyProtection="1">
      <alignment horizontal="center" vertical="center"/>
      <protection hidden="1"/>
    </xf>
    <xf numFmtId="173" fontId="7" fillId="0" borderId="0" xfId="1" applyNumberFormat="1" applyFont="1" applyFill="1" applyBorder="1" applyAlignment="1" applyProtection="1">
      <alignment horizontal="center" vertical="center"/>
      <protection hidden="1"/>
    </xf>
    <xf numFmtId="178" fontId="35" fillId="0" borderId="0" xfId="0" applyNumberFormat="1" applyFont="1" applyAlignment="1" applyProtection="1">
      <alignment horizontal="center" vertical="center"/>
      <protection hidden="1"/>
    </xf>
    <xf numFmtId="10" fontId="7" fillId="7" borderId="0" xfId="2" applyNumberFormat="1" applyFont="1" applyFill="1" applyBorder="1" applyAlignment="1" applyProtection="1">
      <alignment horizontal="center" vertical="center"/>
      <protection hidden="1"/>
    </xf>
    <xf numFmtId="9" fontId="35" fillId="0" borderId="0" xfId="2" applyFont="1" applyAlignment="1" applyProtection="1">
      <alignment horizontal="center" vertical="center"/>
      <protection hidden="1"/>
    </xf>
    <xf numFmtId="172" fontId="6" fillId="6" borderId="29" xfId="0" applyNumberFormat="1" applyFont="1" applyFill="1" applyBorder="1" applyAlignment="1" applyProtection="1">
      <alignment horizontal="center" vertical="center" shrinkToFit="1"/>
      <protection locked="0" hidden="1"/>
    </xf>
    <xf numFmtId="204" fontId="49" fillId="0" borderId="0" xfId="0" applyNumberFormat="1" applyFont="1" applyAlignment="1" applyProtection="1">
      <alignment horizontal="center" vertical="center" shrinkToFit="1"/>
      <protection locked="0" hidden="1"/>
    </xf>
    <xf numFmtId="171" fontId="7" fillId="5" borderId="90" xfId="0" applyNumberFormat="1" applyFont="1" applyFill="1" applyBorder="1" applyAlignment="1" applyProtection="1">
      <alignment horizontal="center" vertical="center"/>
      <protection hidden="1"/>
    </xf>
    <xf numFmtId="171" fontId="2" fillId="5" borderId="93" xfId="0" applyNumberFormat="1" applyFont="1" applyFill="1" applyBorder="1" applyAlignment="1" applyProtection="1">
      <alignment horizontal="center" vertical="center"/>
      <protection hidden="1"/>
    </xf>
    <xf numFmtId="171" fontId="7" fillId="5" borderId="93" xfId="0" applyNumberFormat="1" applyFont="1" applyFill="1" applyBorder="1" applyAlignment="1" applyProtection="1">
      <alignment horizontal="center" vertical="center"/>
      <protection hidden="1"/>
    </xf>
    <xf numFmtId="176" fontId="7" fillId="5" borderId="93" xfId="0" applyNumberFormat="1" applyFont="1" applyFill="1" applyBorder="1" applyAlignment="1" applyProtection="1">
      <alignment horizontal="center" vertical="center"/>
      <protection hidden="1"/>
    </xf>
    <xf numFmtId="183" fontId="2" fillId="5" borderId="93" xfId="0" applyNumberFormat="1" applyFont="1" applyFill="1" applyBorder="1" applyAlignment="1" applyProtection="1">
      <alignment horizontal="center" vertical="center"/>
      <protection hidden="1"/>
    </xf>
    <xf numFmtId="166" fontId="2" fillId="5" borderId="40" xfId="0" applyNumberFormat="1" applyFont="1" applyFill="1" applyBorder="1" applyAlignment="1" applyProtection="1">
      <alignment horizontal="center" vertical="center"/>
      <protection hidden="1"/>
    </xf>
    <xf numFmtId="179" fontId="35" fillId="0" borderId="93" xfId="0" applyNumberFormat="1" applyFont="1" applyBorder="1" applyAlignment="1" applyProtection="1">
      <alignment horizontal="center" vertical="center" shrinkToFit="1"/>
      <protection locked="0" hidden="1"/>
    </xf>
    <xf numFmtId="169" fontId="7" fillId="5" borderId="93" xfId="0" applyNumberFormat="1" applyFont="1" applyFill="1" applyBorder="1" applyAlignment="1" applyProtection="1">
      <alignment horizontal="center" vertical="center"/>
      <protection hidden="1"/>
    </xf>
    <xf numFmtId="44" fontId="2" fillId="0" borderId="0" xfId="1" applyFont="1" applyAlignment="1" applyProtection="1">
      <alignment horizontal="center" vertical="center"/>
      <protection hidden="1"/>
    </xf>
    <xf numFmtId="14" fontId="0" fillId="0" borderId="0" xfId="0" applyNumberFormat="1"/>
    <xf numFmtId="49" fontId="0" fillId="0" borderId="0" xfId="0" applyNumberFormat="1"/>
    <xf numFmtId="222" fontId="0" fillId="0" borderId="12" xfId="0" applyNumberFormat="1" applyBorder="1" applyAlignment="1">
      <alignment horizontal="center"/>
    </xf>
    <xf numFmtId="222" fontId="0" fillId="0" borderId="7" xfId="0" applyNumberFormat="1" applyBorder="1" applyAlignment="1">
      <alignment horizontal="center"/>
    </xf>
    <xf numFmtId="222" fontId="0" fillId="0" borderId="1" xfId="0" applyNumberFormat="1" applyBorder="1" applyAlignment="1">
      <alignment horizontal="center"/>
    </xf>
    <xf numFmtId="224" fontId="0" fillId="0" borderId="14" xfId="0" applyNumberFormat="1" applyBorder="1" applyAlignment="1" applyProtection="1">
      <alignment horizontal="center"/>
      <protection hidden="1"/>
    </xf>
    <xf numFmtId="224" fontId="0" fillId="0" borderId="8" xfId="0" applyNumberFormat="1" applyBorder="1" applyAlignment="1" applyProtection="1">
      <alignment horizontal="center"/>
      <protection hidden="1"/>
    </xf>
    <xf numFmtId="168" fontId="7" fillId="13" borderId="14" xfId="0" applyNumberFormat="1" applyFont="1" applyFill="1" applyBorder="1" applyAlignment="1" applyProtection="1">
      <alignment horizontal="left" vertical="center" shrinkToFit="1"/>
      <protection hidden="1"/>
    </xf>
    <xf numFmtId="168" fontId="2" fillId="13" borderId="8" xfId="0" applyNumberFormat="1" applyFont="1" applyFill="1" applyBorder="1" applyAlignment="1" applyProtection="1">
      <alignment horizontal="left" vertical="center" shrinkToFit="1"/>
      <protection hidden="1"/>
    </xf>
    <xf numFmtId="168" fontId="7" fillId="13" borderId="8" xfId="0" applyNumberFormat="1" applyFont="1" applyFill="1" applyBorder="1" applyAlignment="1" applyProtection="1">
      <alignment horizontal="left" vertical="center" shrinkToFit="1"/>
      <protection hidden="1"/>
    </xf>
    <xf numFmtId="0" fontId="2" fillId="13" borderId="8" xfId="0" applyFont="1" applyFill="1" applyBorder="1" applyAlignment="1" applyProtection="1">
      <alignment horizontal="left" vertical="center" shrinkToFit="1"/>
      <protection hidden="1"/>
    </xf>
    <xf numFmtId="168" fontId="7" fillId="13" borderId="2" xfId="0" applyNumberFormat="1" applyFont="1" applyFill="1" applyBorder="1" applyAlignment="1" applyProtection="1">
      <alignment horizontal="left" vertical="center" shrinkToFit="1"/>
      <protection hidden="1"/>
    </xf>
    <xf numFmtId="168" fontId="8" fillId="13" borderId="1" xfId="0" applyNumberFormat="1" applyFont="1" applyFill="1" applyBorder="1" applyAlignment="1" applyProtection="1">
      <alignment horizontal="center" vertical="center" shrinkToFit="1"/>
      <protection locked="0" hidden="1"/>
    </xf>
    <xf numFmtId="168" fontId="7" fillId="14" borderId="35" xfId="0" applyNumberFormat="1" applyFont="1" applyFill="1" applyBorder="1" applyAlignment="1" applyProtection="1">
      <alignment horizontal="center" vertical="center"/>
      <protection hidden="1"/>
    </xf>
    <xf numFmtId="168" fontId="7" fillId="14" borderId="68" xfId="0" applyNumberFormat="1" applyFont="1" applyFill="1" applyBorder="1" applyAlignment="1" applyProtection="1">
      <alignment horizontal="center" vertical="center"/>
      <protection hidden="1"/>
    </xf>
    <xf numFmtId="44" fontId="35" fillId="0" borderId="94" xfId="1" applyFont="1" applyFill="1" applyBorder="1" applyAlignment="1" applyProtection="1">
      <alignment horizontal="center" vertical="center"/>
      <protection hidden="1"/>
    </xf>
    <xf numFmtId="9" fontId="0" fillId="0" borderId="95" xfId="2" applyFont="1" applyFill="1" applyBorder="1" applyAlignment="1" applyProtection="1">
      <alignment horizontal="center" vertical="center"/>
      <protection hidden="1"/>
    </xf>
    <xf numFmtId="44" fontId="35" fillId="0" borderId="96" xfId="1" applyFont="1" applyFill="1" applyBorder="1" applyAlignment="1" applyProtection="1">
      <alignment horizontal="center" vertical="center"/>
      <protection hidden="1"/>
    </xf>
    <xf numFmtId="9" fontId="0" fillId="0" borderId="97" xfId="2" applyFont="1" applyFill="1" applyBorder="1" applyAlignment="1" applyProtection="1">
      <alignment horizontal="center" vertical="center"/>
      <protection hidden="1"/>
    </xf>
    <xf numFmtId="44" fontId="35" fillId="0" borderId="98" xfId="1" applyFont="1" applyFill="1" applyBorder="1" applyAlignment="1" applyProtection="1">
      <alignment horizontal="center" vertical="center"/>
      <protection hidden="1"/>
    </xf>
    <xf numFmtId="9" fontId="0" fillId="0" borderId="99" xfId="2" applyFont="1" applyFill="1" applyBorder="1" applyAlignment="1" applyProtection="1">
      <alignment horizontal="center" vertical="center"/>
      <protection hidden="1"/>
    </xf>
    <xf numFmtId="44" fontId="8" fillId="0" borderId="0" xfId="1" applyFont="1" applyFill="1" applyBorder="1" applyAlignment="1" applyProtection="1">
      <alignment horizontal="center" vertical="center"/>
      <protection locked="0" hidden="1"/>
    </xf>
    <xf numFmtId="176" fontId="7" fillId="0" borderId="8" xfId="0" applyNumberFormat="1" applyFont="1" applyBorder="1" applyAlignment="1" applyProtection="1">
      <alignment horizontal="center" vertical="center"/>
      <protection hidden="1"/>
    </xf>
    <xf numFmtId="226" fontId="0" fillId="0" borderId="8" xfId="0" applyNumberFormat="1" applyBorder="1" applyAlignment="1" applyProtection="1">
      <alignment horizontal="center"/>
      <protection hidden="1"/>
    </xf>
    <xf numFmtId="7" fontId="42" fillId="0" borderId="7" xfId="0" applyNumberFormat="1" applyFont="1" applyBorder="1" applyAlignment="1" applyProtection="1">
      <alignment vertical="center"/>
      <protection hidden="1"/>
    </xf>
    <xf numFmtId="7" fontId="7" fillId="0" borderId="7" xfId="0" applyNumberFormat="1" applyFont="1" applyBorder="1" applyAlignment="1" applyProtection="1">
      <alignment horizontal="center"/>
      <protection hidden="1"/>
    </xf>
    <xf numFmtId="10" fontId="42" fillId="14" borderId="0" xfId="0" applyNumberFormat="1" applyFont="1" applyFill="1" applyAlignment="1" applyProtection="1">
      <alignment vertical="center"/>
      <protection hidden="1"/>
    </xf>
    <xf numFmtId="0" fontId="0" fillId="0" borderId="101" xfId="0" applyBorder="1" applyAlignment="1" applyProtection="1">
      <alignment vertical="center"/>
      <protection hidden="1"/>
    </xf>
    <xf numFmtId="0" fontId="0" fillId="0" borderId="56" xfId="0" applyBorder="1" applyAlignment="1" applyProtection="1">
      <alignment vertical="center"/>
      <protection hidden="1"/>
    </xf>
    <xf numFmtId="207" fontId="0" fillId="0" borderId="0" xfId="0" applyNumberFormat="1" applyProtection="1">
      <protection hidden="1"/>
    </xf>
    <xf numFmtId="44" fontId="6" fillId="13" borderId="13" xfId="1" applyFont="1" applyFill="1" applyBorder="1" applyAlignment="1" applyProtection="1">
      <alignment horizontal="center" vertical="center"/>
      <protection locked="0" hidden="1"/>
    </xf>
    <xf numFmtId="44" fontId="6" fillId="13" borderId="0" xfId="1" applyFont="1" applyFill="1" applyBorder="1" applyAlignment="1" applyProtection="1">
      <alignment horizontal="center" vertical="center"/>
      <protection locked="0" hidden="1"/>
    </xf>
    <xf numFmtId="44" fontId="6" fillId="13" borderId="35" xfId="1" applyFont="1" applyFill="1" applyBorder="1" applyAlignment="1" applyProtection="1">
      <alignment horizontal="center" vertical="center" shrinkToFit="1"/>
      <protection locked="0" hidden="1"/>
    </xf>
    <xf numFmtId="9" fontId="6" fillId="13" borderId="68" xfId="2" applyFont="1" applyFill="1" applyBorder="1" applyAlignment="1" applyProtection="1">
      <alignment horizontal="center" vertical="center" shrinkToFit="1"/>
      <protection locked="0" hidden="1"/>
    </xf>
    <xf numFmtId="44" fontId="6" fillId="13" borderId="1" xfId="1" applyFont="1" applyFill="1" applyBorder="1" applyAlignment="1" applyProtection="1">
      <alignment horizontal="center" vertical="center"/>
      <protection locked="0" hidden="1"/>
    </xf>
    <xf numFmtId="44" fontId="2" fillId="0" borderId="0" xfId="1" applyFont="1" applyBorder="1" applyAlignment="1" applyProtection="1">
      <alignment horizontal="center" vertical="center"/>
      <protection hidden="1"/>
    </xf>
    <xf numFmtId="168" fontId="2" fillId="13" borderId="2" xfId="0" applyNumberFormat="1" applyFont="1" applyFill="1" applyBorder="1" applyAlignment="1" applyProtection="1">
      <alignment horizontal="left" vertical="center" shrinkToFit="1"/>
      <protection hidden="1"/>
    </xf>
    <xf numFmtId="169" fontId="7" fillId="5" borderId="2" xfId="0" applyNumberFormat="1" applyFont="1" applyFill="1" applyBorder="1" applyAlignment="1" applyProtection="1">
      <alignment horizontal="center" vertical="center"/>
      <protection hidden="1"/>
    </xf>
    <xf numFmtId="44" fontId="6" fillId="13" borderId="6" xfId="1" applyFont="1" applyFill="1" applyBorder="1" applyAlignment="1" applyProtection="1">
      <alignment horizontal="center" vertical="center"/>
      <protection locked="0" hidden="1"/>
    </xf>
    <xf numFmtId="227" fontId="2" fillId="5" borderId="35" xfId="0" applyNumberFormat="1" applyFont="1" applyFill="1" applyBorder="1" applyAlignment="1" applyProtection="1">
      <alignment horizontal="center" vertical="center"/>
      <protection hidden="1"/>
    </xf>
    <xf numFmtId="184" fontId="6" fillId="13" borderId="36" xfId="1" applyNumberFormat="1" applyFont="1" applyFill="1" applyBorder="1" applyAlignment="1" applyProtection="1">
      <alignment horizontal="center" vertical="center"/>
      <protection locked="0" hidden="1"/>
    </xf>
    <xf numFmtId="223" fontId="6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223" fontId="6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68" fontId="6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6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2" fontId="6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207" fontId="6" fillId="3" borderId="7" xfId="0" applyNumberFormat="1" applyFont="1" applyFill="1" applyBorder="1" applyAlignment="1" applyProtection="1">
      <alignment horizontal="center" vertical="center"/>
      <protection locked="0" hidden="1"/>
    </xf>
    <xf numFmtId="175" fontId="6" fillId="3" borderId="100" xfId="0" applyNumberFormat="1" applyFont="1" applyFill="1" applyBorder="1" applyAlignment="1" applyProtection="1">
      <alignment horizontal="center" vertical="center" shrinkToFit="1"/>
      <protection locked="0" hidden="1"/>
    </xf>
    <xf numFmtId="207" fontId="6" fillId="3" borderId="3" xfId="0" applyNumberFormat="1" applyFont="1" applyFill="1" applyBorder="1" applyAlignment="1" applyProtection="1">
      <alignment horizontal="center" vertical="center"/>
      <protection locked="0" hidden="1"/>
    </xf>
    <xf numFmtId="168" fontId="7" fillId="5" borderId="22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23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24" xfId="0" applyNumberFormat="1" applyFont="1" applyFill="1" applyBorder="1" applyAlignment="1" applyProtection="1">
      <alignment horizontal="center" vertical="center" shrinkToFit="1"/>
      <protection hidden="1"/>
    </xf>
    <xf numFmtId="175" fontId="6" fillId="3" borderId="34" xfId="0" applyNumberFormat="1" applyFont="1" applyFill="1" applyBorder="1" applyAlignment="1" applyProtection="1">
      <alignment horizontal="center" vertical="center" shrinkToFit="1"/>
      <protection locked="0" hidden="1"/>
    </xf>
    <xf numFmtId="175" fontId="6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68" fontId="7" fillId="5" borderId="35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36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37" xfId="0" applyNumberFormat="1" applyFont="1" applyFill="1" applyBorder="1" applyAlignment="1" applyProtection="1">
      <alignment horizontal="center" vertical="center" shrinkToFit="1"/>
      <protection hidden="1"/>
    </xf>
    <xf numFmtId="16" fontId="7" fillId="4" borderId="14" xfId="0" applyNumberFormat="1" applyFont="1" applyFill="1" applyBorder="1" applyAlignment="1" applyProtection="1">
      <alignment horizontal="center" vertical="center"/>
      <protection hidden="1"/>
    </xf>
    <xf numFmtId="16" fontId="7" fillId="4" borderId="13" xfId="0" applyNumberFormat="1" applyFont="1" applyFill="1" applyBorder="1" applyAlignment="1" applyProtection="1">
      <alignment horizontal="center" vertical="center"/>
      <protection hidden="1"/>
    </xf>
    <xf numFmtId="16" fontId="7" fillId="4" borderId="12" xfId="0" applyNumberFormat="1" applyFont="1" applyFill="1" applyBorder="1" applyAlignment="1" applyProtection="1">
      <alignment horizontal="center" vertical="center"/>
      <protection hidden="1"/>
    </xf>
    <xf numFmtId="16" fontId="7" fillId="4" borderId="2" xfId="0" applyNumberFormat="1" applyFont="1" applyFill="1" applyBorder="1" applyAlignment="1" applyProtection="1">
      <alignment horizontal="center" vertical="center"/>
      <protection hidden="1"/>
    </xf>
    <xf numFmtId="16" fontId="7" fillId="4" borderId="6" xfId="0" applyNumberFormat="1" applyFont="1" applyFill="1" applyBorder="1" applyAlignment="1" applyProtection="1">
      <alignment horizontal="center" vertical="center"/>
      <protection hidden="1"/>
    </xf>
    <xf numFmtId="16" fontId="7" fillId="4" borderId="1" xfId="0" applyNumberFormat="1" applyFont="1" applyFill="1" applyBorder="1" applyAlignment="1" applyProtection="1">
      <alignment horizontal="center" vertical="center"/>
      <protection hidden="1"/>
    </xf>
    <xf numFmtId="172" fontId="7" fillId="7" borderId="14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13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4" fontId="8" fillId="3" borderId="2" xfId="0" applyNumberFormat="1" applyFont="1" applyFill="1" applyBorder="1" applyAlignment="1" applyProtection="1">
      <alignment horizontal="center" vertical="center"/>
      <protection locked="0" hidden="1"/>
    </xf>
    <xf numFmtId="4" fontId="8" fillId="3" borderId="6" xfId="0" applyNumberFormat="1" applyFont="1" applyFill="1" applyBorder="1" applyAlignment="1" applyProtection="1">
      <alignment horizontal="center" vertical="center"/>
      <protection locked="0" hidden="1"/>
    </xf>
    <xf numFmtId="4" fontId="8" fillId="3" borderId="1" xfId="0" applyNumberFormat="1" applyFont="1" applyFill="1" applyBorder="1" applyAlignment="1" applyProtection="1">
      <alignment horizontal="center" vertical="center"/>
      <protection locked="0" hidden="1"/>
    </xf>
    <xf numFmtId="168" fontId="7" fillId="4" borderId="25" xfId="0" applyNumberFormat="1" applyFont="1" applyFill="1" applyBorder="1" applyAlignment="1" applyProtection="1">
      <alignment horizontal="center" vertical="center"/>
      <protection hidden="1"/>
    </xf>
    <xf numFmtId="168" fontId="7" fillId="4" borderId="26" xfId="0" applyNumberFormat="1" applyFont="1" applyFill="1" applyBorder="1" applyAlignment="1" applyProtection="1">
      <alignment horizontal="center" vertical="center"/>
      <protection hidden="1"/>
    </xf>
    <xf numFmtId="168" fontId="7" fillId="4" borderId="27" xfId="0" applyNumberFormat="1" applyFont="1" applyFill="1" applyBorder="1" applyAlignment="1" applyProtection="1">
      <alignment horizontal="center" vertical="center"/>
      <protection hidden="1"/>
    </xf>
    <xf numFmtId="167" fontId="6" fillId="3" borderId="38" xfId="0" applyNumberFormat="1" applyFont="1" applyFill="1" applyBorder="1" applyAlignment="1" applyProtection="1">
      <alignment horizontal="center" vertical="center" shrinkToFit="1"/>
      <protection locked="0" hidden="1"/>
    </xf>
    <xf numFmtId="167" fontId="6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184" fontId="5" fillId="4" borderId="17" xfId="0" applyNumberFormat="1" applyFont="1" applyFill="1" applyBorder="1" applyAlignment="1" applyProtection="1">
      <alignment horizontal="center" vertical="center"/>
      <protection hidden="1"/>
    </xf>
    <xf numFmtId="184" fontId="5" fillId="4" borderId="16" xfId="0" applyNumberFormat="1" applyFont="1" applyFill="1" applyBorder="1" applyAlignment="1" applyProtection="1">
      <alignment horizontal="center" vertical="center"/>
      <protection hidden="1"/>
    </xf>
    <xf numFmtId="184" fontId="5" fillId="4" borderId="15" xfId="0" applyNumberFormat="1" applyFont="1" applyFill="1" applyBorder="1" applyAlignment="1" applyProtection="1">
      <alignment horizontal="center" vertical="center"/>
      <protection hidden="1"/>
    </xf>
    <xf numFmtId="184" fontId="5" fillId="4" borderId="5" xfId="0" applyNumberFormat="1" applyFont="1" applyFill="1" applyBorder="1" applyAlignment="1" applyProtection="1">
      <alignment horizontal="center" vertical="center"/>
      <protection hidden="1"/>
    </xf>
    <xf numFmtId="184" fontId="5" fillId="4" borderId="4" xfId="0" applyNumberFormat="1" applyFont="1" applyFill="1" applyBorder="1" applyAlignment="1" applyProtection="1">
      <alignment horizontal="center" vertical="center"/>
      <protection hidden="1"/>
    </xf>
    <xf numFmtId="184" fontId="5" fillId="4" borderId="3" xfId="0" applyNumberFormat="1" applyFont="1" applyFill="1" applyBorder="1" applyAlignment="1" applyProtection="1">
      <alignment horizontal="center" vertical="center"/>
      <protection hidden="1"/>
    </xf>
    <xf numFmtId="7" fontId="3" fillId="2" borderId="14" xfId="0" applyNumberFormat="1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3" fillId="2" borderId="8" xfId="0" applyFont="1" applyFill="1" applyBorder="1" applyAlignment="1" applyProtection="1">
      <alignment horizontal="center" vertical="center"/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7" fontId="4" fillId="3" borderId="14" xfId="0" applyNumberFormat="1" applyFont="1" applyFill="1" applyBorder="1" applyAlignment="1" applyProtection="1">
      <alignment horizontal="center" vertical="center"/>
      <protection locked="0" hidden="1"/>
    </xf>
    <xf numFmtId="7" fontId="4" fillId="3" borderId="13" xfId="0" applyNumberFormat="1" applyFont="1" applyFill="1" applyBorder="1" applyAlignment="1" applyProtection="1">
      <alignment horizontal="center" vertical="center"/>
      <protection locked="0" hidden="1"/>
    </xf>
    <xf numFmtId="7" fontId="4" fillId="3" borderId="12" xfId="0" applyNumberFormat="1" applyFont="1" applyFill="1" applyBorder="1" applyAlignment="1" applyProtection="1">
      <alignment horizontal="center" vertical="center"/>
      <protection locked="0" hidden="1"/>
    </xf>
    <xf numFmtId="7" fontId="4" fillId="3" borderId="2" xfId="0" applyNumberFormat="1" applyFont="1" applyFill="1" applyBorder="1" applyAlignment="1" applyProtection="1">
      <alignment horizontal="center" vertical="center"/>
      <protection locked="0" hidden="1"/>
    </xf>
    <xf numFmtId="7" fontId="4" fillId="3" borderId="6" xfId="0" applyNumberFormat="1" applyFont="1" applyFill="1" applyBorder="1" applyAlignment="1" applyProtection="1">
      <alignment horizontal="center" vertical="center"/>
      <protection locked="0" hidden="1"/>
    </xf>
    <xf numFmtId="7" fontId="4" fillId="3" borderId="1" xfId="0" applyNumberFormat="1" applyFont="1" applyFill="1" applyBorder="1" applyAlignment="1" applyProtection="1">
      <alignment horizontal="center" vertical="center"/>
      <protection locked="0" hidden="1"/>
    </xf>
    <xf numFmtId="184" fontId="0" fillId="0" borderId="8" xfId="0" applyNumberFormat="1" applyBorder="1" applyAlignment="1" applyProtection="1">
      <alignment horizontal="center"/>
      <protection hidden="1"/>
    </xf>
    <xf numFmtId="184" fontId="0" fillId="0" borderId="0" xfId="0" applyNumberFormat="1" applyAlignment="1" applyProtection="1">
      <alignment horizontal="center"/>
      <protection hidden="1"/>
    </xf>
    <xf numFmtId="186" fontId="6" fillId="3" borderId="38" xfId="0" applyNumberFormat="1" applyFont="1" applyFill="1" applyBorder="1" applyAlignment="1" applyProtection="1">
      <alignment horizontal="center" vertical="center" shrinkToFit="1"/>
      <protection locked="0" hidden="1"/>
    </xf>
    <xf numFmtId="186" fontId="6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184" fontId="48" fillId="5" borderId="13" xfId="0" applyNumberFormat="1" applyFont="1" applyFill="1" applyBorder="1" applyAlignment="1" applyProtection="1">
      <alignment horizontal="center"/>
      <protection hidden="1"/>
    </xf>
    <xf numFmtId="1" fontId="8" fillId="6" borderId="26" xfId="0" applyNumberFormat="1" applyFont="1" applyFill="1" applyBorder="1" applyAlignment="1" applyProtection="1">
      <alignment horizontal="center" vertical="center"/>
      <protection hidden="1"/>
    </xf>
    <xf numFmtId="1" fontId="8" fillId="6" borderId="27" xfId="0" applyNumberFormat="1" applyFont="1" applyFill="1" applyBorder="1" applyAlignment="1" applyProtection="1">
      <alignment horizontal="center" vertical="center"/>
      <protection hidden="1"/>
    </xf>
    <xf numFmtId="0" fontId="2" fillId="0" borderId="88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8" fontId="7" fillId="5" borderId="14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13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0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2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1" xfId="0" applyNumberFormat="1" applyFont="1" applyFill="1" applyBorder="1" applyAlignment="1" applyProtection="1">
      <alignment horizontal="center" vertical="center" shrinkToFit="1"/>
      <protection hidden="1"/>
    </xf>
    <xf numFmtId="175" fontId="50" fillId="3" borderId="34" xfId="0" applyNumberFormat="1" applyFont="1" applyFill="1" applyBorder="1" applyAlignment="1" applyProtection="1">
      <alignment horizontal="center" vertical="center" shrinkToFit="1"/>
      <protection locked="0" hidden="1"/>
    </xf>
    <xf numFmtId="175" fontId="50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5" fontId="50" fillId="3" borderId="38" xfId="0" applyNumberFormat="1" applyFont="1" applyFill="1" applyBorder="1" applyAlignment="1" applyProtection="1">
      <alignment horizontal="center" vertical="center" shrinkToFit="1"/>
      <protection locked="0" hidden="1"/>
    </xf>
    <xf numFmtId="175" fontId="50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0" fontId="2" fillId="0" borderId="81" xfId="0" applyFont="1" applyBorder="1" applyAlignment="1" applyProtection="1">
      <alignment horizontal="center" vertical="center"/>
      <protection hidden="1"/>
    </xf>
    <xf numFmtId="0" fontId="2" fillId="0" borderId="66" xfId="0" applyFont="1" applyBorder="1" applyAlignment="1" applyProtection="1">
      <alignment horizontal="center" vertical="center"/>
      <protection hidden="1"/>
    </xf>
    <xf numFmtId="0" fontId="7" fillId="14" borderId="35" xfId="0" applyFont="1" applyFill="1" applyBorder="1" applyAlignment="1" applyProtection="1">
      <alignment horizontal="center" vertical="center"/>
      <protection hidden="1"/>
    </xf>
    <xf numFmtId="0" fontId="7" fillId="14" borderId="36" xfId="0" applyFont="1" applyFill="1" applyBorder="1" applyAlignment="1" applyProtection="1">
      <alignment horizontal="center" vertical="center"/>
      <protection hidden="1"/>
    </xf>
    <xf numFmtId="0" fontId="7" fillId="14" borderId="68" xfId="0" applyFont="1" applyFill="1" applyBorder="1" applyAlignment="1" applyProtection="1">
      <alignment horizontal="center" vertical="center"/>
      <protection hidden="1"/>
    </xf>
    <xf numFmtId="44" fontId="8" fillId="0" borderId="0" xfId="1" applyFont="1" applyFill="1" applyBorder="1" applyAlignment="1" applyProtection="1">
      <alignment horizontal="center" vertical="center"/>
      <protection locked="0" hidden="1"/>
    </xf>
    <xf numFmtId="44" fontId="8" fillId="0" borderId="7" xfId="1" applyFont="1" applyFill="1" applyBorder="1" applyAlignment="1" applyProtection="1">
      <alignment horizontal="center" vertical="center"/>
      <protection locked="0" hidden="1"/>
    </xf>
    <xf numFmtId="7" fontId="6" fillId="13" borderId="36" xfId="1" applyNumberFormat="1" applyFont="1" applyFill="1" applyBorder="1" applyAlignment="1" applyProtection="1">
      <alignment horizontal="center" vertical="center"/>
      <protection locked="0" hidden="1"/>
    </xf>
    <xf numFmtId="7" fontId="6" fillId="13" borderId="68" xfId="1" applyNumberFormat="1" applyFont="1" applyFill="1" applyBorder="1" applyAlignment="1" applyProtection="1">
      <alignment horizontal="center" vertical="center"/>
      <protection locked="0" hidden="1"/>
    </xf>
    <xf numFmtId="7" fontId="54" fillId="0" borderId="2" xfId="1" applyNumberFormat="1" applyFont="1" applyFill="1" applyBorder="1" applyAlignment="1" applyProtection="1">
      <alignment horizontal="right" vertical="center"/>
      <protection locked="0" hidden="1"/>
    </xf>
    <xf numFmtId="7" fontId="54" fillId="0" borderId="1" xfId="1" applyNumberFormat="1" applyFont="1" applyFill="1" applyBorder="1" applyAlignment="1" applyProtection="1">
      <alignment horizontal="right" vertical="center"/>
      <protection locked="0" hidden="1"/>
    </xf>
    <xf numFmtId="176" fontId="7" fillId="14" borderId="35" xfId="0" applyNumberFormat="1" applyFont="1" applyFill="1" applyBorder="1" applyAlignment="1" applyProtection="1">
      <alignment horizontal="center" vertical="center"/>
      <protection hidden="1"/>
    </xf>
    <xf numFmtId="176" fontId="7" fillId="14" borderId="68" xfId="0" applyNumberFormat="1" applyFont="1" applyFill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7" fontId="53" fillId="15" borderId="2" xfId="1" applyNumberFormat="1" applyFont="1" applyFill="1" applyBorder="1" applyAlignment="1" applyProtection="1">
      <alignment horizontal="center" vertical="center"/>
      <protection hidden="1"/>
    </xf>
    <xf numFmtId="7" fontId="53" fillId="15" borderId="6" xfId="1" applyNumberFormat="1" applyFont="1" applyFill="1" applyBorder="1" applyAlignment="1" applyProtection="1">
      <alignment horizontal="center" vertical="center"/>
      <protection hidden="1"/>
    </xf>
    <xf numFmtId="7" fontId="53" fillId="15" borderId="1" xfId="1" applyNumberFormat="1" applyFont="1" applyFill="1" applyBorder="1" applyAlignment="1" applyProtection="1">
      <alignment horizontal="center" vertical="center"/>
      <protection hidden="1"/>
    </xf>
    <xf numFmtId="7" fontId="7" fillId="0" borderId="13" xfId="0" applyNumberFormat="1" applyFont="1" applyBorder="1" applyAlignment="1" applyProtection="1">
      <alignment horizontal="center"/>
      <protection hidden="1"/>
    </xf>
    <xf numFmtId="7" fontId="7" fillId="0" borderId="12" xfId="0" applyNumberFormat="1" applyFont="1" applyBorder="1" applyAlignment="1" applyProtection="1">
      <alignment horizontal="center"/>
      <protection hidden="1"/>
    </xf>
    <xf numFmtId="7" fontId="2" fillId="0" borderId="0" xfId="0" applyNumberFormat="1" applyFont="1" applyAlignment="1" applyProtection="1">
      <alignment horizontal="center"/>
      <protection hidden="1"/>
    </xf>
    <xf numFmtId="7" fontId="2" fillId="0" borderId="7" xfId="0" applyNumberFormat="1" applyFont="1" applyBorder="1" applyAlignment="1" applyProtection="1">
      <alignment horizontal="center"/>
      <protection hidden="1"/>
    </xf>
    <xf numFmtId="7" fontId="7" fillId="0" borderId="0" xfId="0" applyNumberFormat="1" applyFont="1" applyAlignment="1" applyProtection="1">
      <alignment horizontal="center"/>
      <protection hidden="1"/>
    </xf>
    <xf numFmtId="7" fontId="7" fillId="0" borderId="7" xfId="0" applyNumberFormat="1" applyFont="1" applyBorder="1" applyAlignment="1" applyProtection="1">
      <alignment horizontal="center"/>
      <protection hidden="1"/>
    </xf>
    <xf numFmtId="7" fontId="7" fillId="0" borderId="6" xfId="0" applyNumberFormat="1" applyFont="1" applyBorder="1" applyAlignment="1" applyProtection="1">
      <alignment horizontal="center"/>
      <protection hidden="1"/>
    </xf>
    <xf numFmtId="7" fontId="7" fillId="0" borderId="1" xfId="0" applyNumberFormat="1" applyFont="1" applyBorder="1" applyAlignment="1" applyProtection="1">
      <alignment horizontal="center"/>
      <protection hidden="1"/>
    </xf>
    <xf numFmtId="7" fontId="2" fillId="0" borderId="36" xfId="0" applyNumberFormat="1" applyFont="1" applyBorder="1" applyAlignment="1" applyProtection="1">
      <alignment horizontal="center"/>
      <protection hidden="1"/>
    </xf>
    <xf numFmtId="7" fontId="2" fillId="0" borderId="68" xfId="0" applyNumberFormat="1" applyFont="1" applyBorder="1" applyAlignment="1" applyProtection="1">
      <alignment horizontal="center"/>
      <protection hidden="1"/>
    </xf>
    <xf numFmtId="0" fontId="0" fillId="0" borderId="90" xfId="0" applyBorder="1" applyAlignment="1" applyProtection="1">
      <alignment horizontal="center" wrapText="1"/>
      <protection hidden="1"/>
    </xf>
    <xf numFmtId="0" fontId="0" fillId="0" borderId="40" xfId="0" applyBorder="1" applyAlignment="1" applyProtection="1">
      <alignment horizontal="center" wrapText="1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14" borderId="14" xfId="0" applyFont="1" applyFill="1" applyBorder="1" applyAlignment="1" applyProtection="1">
      <alignment horizontal="center" vertical="center"/>
      <protection hidden="1"/>
    </xf>
    <xf numFmtId="0" fontId="7" fillId="14" borderId="13" xfId="0" applyFont="1" applyFill="1" applyBorder="1" applyAlignment="1" applyProtection="1">
      <alignment horizontal="center" vertical="center"/>
      <protection hidden="1"/>
    </xf>
    <xf numFmtId="0" fontId="7" fillId="14" borderId="12" xfId="0" applyFont="1" applyFill="1" applyBorder="1" applyAlignment="1" applyProtection="1">
      <alignment horizontal="center" vertical="center"/>
      <protection hidden="1"/>
    </xf>
    <xf numFmtId="7" fontId="41" fillId="2" borderId="7" xfId="0" applyNumberFormat="1" applyFont="1" applyFill="1" applyBorder="1" applyAlignment="1" applyProtection="1">
      <alignment horizontal="center" vertical="center"/>
      <protection hidden="1"/>
    </xf>
    <xf numFmtId="7" fontId="41" fillId="2" borderId="1" xfId="0" applyNumberFormat="1" applyFont="1" applyFill="1" applyBorder="1" applyAlignment="1" applyProtection="1">
      <alignment horizontal="center" vertical="center"/>
      <protection hidden="1"/>
    </xf>
    <xf numFmtId="16" fontId="7" fillId="14" borderId="14" xfId="0" applyNumberFormat="1" applyFont="1" applyFill="1" applyBorder="1" applyAlignment="1" applyProtection="1">
      <alignment horizontal="center" vertical="center"/>
      <protection hidden="1"/>
    </xf>
    <xf numFmtId="16" fontId="7" fillId="14" borderId="13" xfId="0" applyNumberFormat="1" applyFont="1" applyFill="1" applyBorder="1" applyAlignment="1" applyProtection="1">
      <alignment horizontal="center" vertical="center"/>
      <protection hidden="1"/>
    </xf>
    <xf numFmtId="16" fontId="7" fillId="14" borderId="12" xfId="0" applyNumberFormat="1" applyFont="1" applyFill="1" applyBorder="1" applyAlignment="1" applyProtection="1">
      <alignment horizontal="center" vertical="center"/>
      <protection hidden="1"/>
    </xf>
    <xf numFmtId="16" fontId="7" fillId="14" borderId="2" xfId="0" applyNumberFormat="1" applyFont="1" applyFill="1" applyBorder="1" applyAlignment="1" applyProtection="1">
      <alignment horizontal="center" vertical="center"/>
      <protection hidden="1"/>
    </xf>
    <xf numFmtId="16" fontId="7" fillId="14" borderId="6" xfId="0" applyNumberFormat="1" applyFont="1" applyFill="1" applyBorder="1" applyAlignment="1" applyProtection="1">
      <alignment horizontal="center" vertical="center"/>
      <protection hidden="1"/>
    </xf>
    <xf numFmtId="16" fontId="7" fillId="14" borderId="1" xfId="0" applyNumberFormat="1" applyFont="1" applyFill="1" applyBorder="1" applyAlignment="1" applyProtection="1">
      <alignment horizontal="center" vertical="center"/>
      <protection hidden="1"/>
    </xf>
    <xf numFmtId="172" fontId="7" fillId="7" borderId="81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18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39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225" fontId="39" fillId="3" borderId="2" xfId="0" applyNumberFormat="1" applyFont="1" applyFill="1" applyBorder="1" applyAlignment="1">
      <alignment horizontal="center"/>
    </xf>
    <xf numFmtId="225" fontId="39" fillId="3" borderId="6" xfId="0" applyNumberFormat="1" applyFont="1" applyFill="1" applyBorder="1" applyAlignment="1">
      <alignment horizontal="center"/>
    </xf>
    <xf numFmtId="225" fontId="39" fillId="3" borderId="1" xfId="0" applyNumberFormat="1" applyFont="1" applyFill="1" applyBorder="1" applyAlignment="1">
      <alignment horizontal="center"/>
    </xf>
    <xf numFmtId="207" fontId="53" fillId="15" borderId="14" xfId="0" applyNumberFormat="1" applyFont="1" applyFill="1" applyBorder="1" applyAlignment="1" applyProtection="1">
      <alignment horizontal="center" vertical="center"/>
      <protection locked="0" hidden="1"/>
    </xf>
    <xf numFmtId="207" fontId="53" fillId="15" borderId="13" xfId="0" applyNumberFormat="1" applyFont="1" applyFill="1" applyBorder="1" applyAlignment="1" applyProtection="1">
      <alignment horizontal="center" vertical="center"/>
      <protection locked="0" hidden="1"/>
    </xf>
    <xf numFmtId="207" fontId="53" fillId="15" borderId="12" xfId="0" applyNumberFormat="1" applyFont="1" applyFill="1" applyBorder="1" applyAlignment="1" applyProtection="1">
      <alignment horizontal="center" vertical="center"/>
      <protection locked="0" hidden="1"/>
    </xf>
    <xf numFmtId="168" fontId="7" fillId="14" borderId="14" xfId="0" applyNumberFormat="1" applyFont="1" applyFill="1" applyBorder="1" applyAlignment="1" applyProtection="1">
      <alignment horizontal="center" vertical="center"/>
      <protection hidden="1"/>
    </xf>
    <xf numFmtId="168" fontId="7" fillId="14" borderId="12" xfId="0" applyNumberFormat="1" applyFont="1" applyFill="1" applyBorder="1" applyAlignment="1" applyProtection="1">
      <alignment horizontal="center" vertical="center"/>
      <protection hidden="1"/>
    </xf>
    <xf numFmtId="175" fontId="6" fillId="3" borderId="34" xfId="0" applyNumberFormat="1" applyFont="1" applyFill="1" applyBorder="1" applyAlignment="1" applyProtection="1">
      <alignment horizontal="center" vertical="center" shrinkToFit="1"/>
      <protection hidden="1"/>
    </xf>
    <xf numFmtId="175" fontId="6" fillId="3" borderId="12" xfId="0" applyNumberFormat="1" applyFont="1" applyFill="1" applyBorder="1" applyAlignment="1" applyProtection="1">
      <alignment horizontal="center" vertical="center" shrinkToFit="1"/>
      <protection hidden="1"/>
    </xf>
    <xf numFmtId="44" fontId="3" fillId="2" borderId="14" xfId="0" applyNumberFormat="1" applyFont="1" applyFill="1" applyBorder="1" applyAlignment="1" applyProtection="1">
      <alignment horizontal="center" vertical="center"/>
      <protection hidden="1"/>
    </xf>
    <xf numFmtId="44" fontId="3" fillId="2" borderId="12" xfId="0" applyNumberFormat="1" applyFont="1" applyFill="1" applyBorder="1" applyAlignment="1" applyProtection="1">
      <alignment horizontal="center" vertical="center"/>
      <protection hidden="1"/>
    </xf>
    <xf numFmtId="44" fontId="3" fillId="2" borderId="8" xfId="0" applyNumberFormat="1" applyFont="1" applyFill="1" applyBorder="1" applyAlignment="1" applyProtection="1">
      <alignment horizontal="center" vertical="center"/>
      <protection hidden="1"/>
    </xf>
    <xf numFmtId="44" fontId="3" fillId="2" borderId="7" xfId="0" applyNumberFormat="1" applyFont="1" applyFill="1" applyBorder="1" applyAlignment="1" applyProtection="1">
      <alignment horizontal="center" vertical="center"/>
      <protection hidden="1"/>
    </xf>
    <xf numFmtId="44" fontId="3" fillId="2" borderId="2" xfId="0" applyNumberFormat="1" applyFont="1" applyFill="1" applyBorder="1" applyAlignment="1" applyProtection="1">
      <alignment horizontal="center" vertical="center"/>
      <protection hidden="1"/>
    </xf>
    <xf numFmtId="44" fontId="3" fillId="2" borderId="1" xfId="0" applyNumberFormat="1" applyFont="1" applyFill="1" applyBorder="1" applyAlignment="1" applyProtection="1">
      <alignment horizontal="center" vertical="center"/>
      <protection hidden="1"/>
    </xf>
    <xf numFmtId="185" fontId="6" fillId="3" borderId="38" xfId="0" applyNumberFormat="1" applyFont="1" applyFill="1" applyBorder="1" applyAlignment="1" applyProtection="1">
      <alignment horizontal="center" vertical="center" shrinkToFit="1"/>
      <protection hidden="1"/>
    </xf>
    <xf numFmtId="185" fontId="6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68" xfId="0" applyBorder="1" applyAlignment="1" applyProtection="1">
      <alignment horizontal="center"/>
      <protection hidden="1"/>
    </xf>
    <xf numFmtId="0" fontId="44" fillId="0" borderId="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3" xfId="0" applyFont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6" fillId="0" borderId="7" xfId="0" applyFont="1" applyBorder="1" applyAlignment="1">
      <alignment horizontal="left" vertical="center"/>
    </xf>
    <xf numFmtId="209" fontId="0" fillId="0" borderId="83" xfId="0" applyNumberFormat="1" applyBorder="1" applyAlignment="1" applyProtection="1">
      <alignment horizontal="center" vertical="center"/>
      <protection hidden="1"/>
    </xf>
    <xf numFmtId="209" fontId="0" fillId="0" borderId="15" xfId="0" applyNumberFormat="1" applyBorder="1" applyAlignment="1" applyProtection="1">
      <alignment horizontal="center" vertical="center"/>
      <protection hidden="1"/>
    </xf>
    <xf numFmtId="0" fontId="47" fillId="0" borderId="6" xfId="0" applyFont="1" applyBorder="1" applyAlignment="1">
      <alignment horizontal="center" vertical="center"/>
    </xf>
    <xf numFmtId="0" fontId="47" fillId="0" borderId="6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216" fontId="41" fillId="2" borderId="14" xfId="0" applyNumberFormat="1" applyFont="1" applyFill="1" applyBorder="1" applyAlignment="1" applyProtection="1">
      <alignment horizontal="center" vertical="center"/>
      <protection hidden="1"/>
    </xf>
    <xf numFmtId="216" fontId="41" fillId="2" borderId="13" xfId="0" applyNumberFormat="1" applyFont="1" applyFill="1" applyBorder="1" applyAlignment="1" applyProtection="1">
      <alignment horizontal="center" vertical="center"/>
      <protection hidden="1"/>
    </xf>
    <xf numFmtId="216" fontId="41" fillId="2" borderId="12" xfId="0" applyNumberFormat="1" applyFont="1" applyFill="1" applyBorder="1" applyAlignment="1" applyProtection="1">
      <alignment horizontal="center" vertical="center"/>
      <protection hidden="1"/>
    </xf>
    <xf numFmtId="7" fontId="41" fillId="2" borderId="14" xfId="0" applyNumberFormat="1" applyFont="1" applyFill="1" applyBorder="1" applyAlignment="1" applyProtection="1">
      <alignment horizontal="center" vertical="center"/>
      <protection hidden="1"/>
    </xf>
    <xf numFmtId="7" fontId="41" fillId="2" borderId="12" xfId="0" applyNumberFormat="1" applyFont="1" applyFill="1" applyBorder="1" applyAlignment="1" applyProtection="1">
      <alignment horizontal="center" vertical="center"/>
      <protection hidden="1"/>
    </xf>
    <xf numFmtId="7" fontId="41" fillId="2" borderId="8" xfId="0" applyNumberFormat="1" applyFont="1" applyFill="1" applyBorder="1" applyAlignment="1" applyProtection="1">
      <alignment horizontal="center" vertical="center"/>
      <protection hidden="1"/>
    </xf>
    <xf numFmtId="7" fontId="41" fillId="2" borderId="2" xfId="0" applyNumberFormat="1" applyFont="1" applyFill="1" applyBorder="1" applyAlignment="1" applyProtection="1">
      <alignment horizontal="center" vertical="center"/>
      <protection hidden="1"/>
    </xf>
    <xf numFmtId="7" fontId="42" fillId="4" borderId="14" xfId="0" applyNumberFormat="1" applyFont="1" applyFill="1" applyBorder="1" applyAlignment="1" applyProtection="1">
      <alignment horizontal="center" vertical="center"/>
      <protection hidden="1"/>
    </xf>
    <xf numFmtId="7" fontId="42" fillId="4" borderId="13" xfId="0" applyNumberFormat="1" applyFont="1" applyFill="1" applyBorder="1" applyAlignment="1" applyProtection="1">
      <alignment horizontal="center" vertical="center"/>
      <protection hidden="1"/>
    </xf>
    <xf numFmtId="7" fontId="42" fillId="4" borderId="12" xfId="0" applyNumberFormat="1" applyFont="1" applyFill="1" applyBorder="1" applyAlignment="1" applyProtection="1">
      <alignment horizontal="center" vertical="center"/>
      <protection hidden="1"/>
    </xf>
    <xf numFmtId="7" fontId="42" fillId="4" borderId="2" xfId="0" applyNumberFormat="1" applyFont="1" applyFill="1" applyBorder="1" applyAlignment="1" applyProtection="1">
      <alignment horizontal="center" vertical="center"/>
      <protection hidden="1"/>
    </xf>
    <xf numFmtId="7" fontId="42" fillId="4" borderId="6" xfId="0" applyNumberFormat="1" applyFont="1" applyFill="1" applyBorder="1" applyAlignment="1" applyProtection="1">
      <alignment horizontal="center" vertical="center"/>
      <protection hidden="1"/>
    </xf>
    <xf numFmtId="7" fontId="42" fillId="4" borderId="1" xfId="0" applyNumberFormat="1" applyFont="1" applyFill="1" applyBorder="1" applyAlignment="1" applyProtection="1">
      <alignment horizontal="center" vertical="center"/>
      <protection hidden="1"/>
    </xf>
    <xf numFmtId="184" fontId="13" fillId="5" borderId="8" xfId="0" applyNumberFormat="1" applyFont="1" applyFill="1" applyBorder="1" applyAlignment="1" applyProtection="1">
      <alignment horizontal="center" vertical="center"/>
      <protection hidden="1"/>
    </xf>
    <xf numFmtId="16" fontId="11" fillId="4" borderId="14" xfId="0" applyNumberFormat="1" applyFont="1" applyFill="1" applyBorder="1" applyAlignment="1" applyProtection="1">
      <alignment horizontal="center" vertical="center"/>
      <protection hidden="1"/>
    </xf>
    <xf numFmtId="16" fontId="11" fillId="4" borderId="13" xfId="0" applyNumberFormat="1" applyFont="1" applyFill="1" applyBorder="1" applyAlignment="1" applyProtection="1">
      <alignment horizontal="center" vertical="center"/>
      <protection hidden="1"/>
    </xf>
    <xf numFmtId="16" fontId="11" fillId="4" borderId="2" xfId="0" applyNumberFormat="1" applyFont="1" applyFill="1" applyBorder="1" applyAlignment="1" applyProtection="1">
      <alignment horizontal="center" vertical="center"/>
      <protection hidden="1"/>
    </xf>
    <xf numFmtId="16" fontId="11" fillId="4" borderId="6" xfId="0" applyNumberFormat="1" applyFont="1" applyFill="1" applyBorder="1" applyAlignment="1" applyProtection="1">
      <alignment horizontal="center" vertical="center"/>
      <protection hidden="1"/>
    </xf>
    <xf numFmtId="0" fontId="12" fillId="0" borderId="14" xfId="0" applyFont="1" applyBorder="1" applyAlignment="1" applyProtection="1">
      <alignment horizontal="center"/>
      <protection hidden="1"/>
    </xf>
    <xf numFmtId="0" fontId="12" fillId="0" borderId="13" xfId="0" applyFont="1" applyBorder="1" applyAlignment="1" applyProtection="1">
      <alignment horizontal="center"/>
      <protection hidden="1"/>
    </xf>
    <xf numFmtId="0" fontId="12" fillId="0" borderId="12" xfId="0" applyFont="1" applyBorder="1" applyAlignment="1" applyProtection="1">
      <alignment horizontal="center"/>
      <protection hidden="1"/>
    </xf>
    <xf numFmtId="198" fontId="28" fillId="11" borderId="2" xfId="0" applyNumberFormat="1" applyFont="1" applyFill="1" applyBorder="1" applyAlignment="1" applyProtection="1">
      <alignment horizontal="center"/>
      <protection hidden="1"/>
    </xf>
    <xf numFmtId="198" fontId="28" fillId="11" borderId="6" xfId="0" applyNumberFormat="1" applyFont="1" applyFill="1" applyBorder="1" applyAlignment="1" applyProtection="1">
      <alignment horizontal="center"/>
      <protection hidden="1"/>
    </xf>
    <xf numFmtId="198" fontId="28" fillId="11" borderId="1" xfId="0" applyNumberFormat="1" applyFont="1" applyFill="1" applyBorder="1" applyAlignment="1" applyProtection="1">
      <alignment horizontal="center"/>
      <protection hidden="1"/>
    </xf>
    <xf numFmtId="0" fontId="11" fillId="0" borderId="22" xfId="0" applyFont="1" applyBorder="1" applyAlignment="1" applyProtection="1">
      <alignment horizontal="center" vertical="center"/>
      <protection hidden="1"/>
    </xf>
    <xf numFmtId="0" fontId="11" fillId="0" borderId="23" xfId="0" applyFont="1" applyBorder="1" applyAlignment="1" applyProtection="1">
      <alignment horizontal="center" vertical="center"/>
      <protection hidden="1"/>
    </xf>
    <xf numFmtId="0" fontId="11" fillId="0" borderId="52" xfId="0" applyFont="1" applyBorder="1" applyAlignment="1" applyProtection="1">
      <alignment horizontal="center" vertical="center"/>
      <protection hidden="1"/>
    </xf>
    <xf numFmtId="184" fontId="16" fillId="5" borderId="53" xfId="2" applyNumberFormat="1" applyFont="1" applyFill="1" applyBorder="1" applyAlignment="1" applyProtection="1">
      <alignment horizontal="center" vertical="center" shrinkToFit="1"/>
      <protection hidden="1"/>
    </xf>
    <xf numFmtId="9" fontId="16" fillId="5" borderId="7" xfId="2" applyFont="1" applyFill="1" applyBorder="1" applyAlignment="1" applyProtection="1">
      <alignment horizontal="center" vertical="center" shrinkToFit="1"/>
      <protection hidden="1"/>
    </xf>
    <xf numFmtId="9" fontId="16" fillId="5" borderId="1" xfId="2" applyFont="1" applyFill="1" applyBorder="1" applyAlignment="1" applyProtection="1">
      <alignment horizontal="center" vertical="center" shrinkToFit="1"/>
      <protection hidden="1"/>
    </xf>
    <xf numFmtId="9" fontId="20" fillId="5" borderId="41" xfId="2" applyFont="1" applyFill="1" applyBorder="1" applyAlignment="1" applyProtection="1">
      <alignment horizontal="center" vertical="center" shrinkToFit="1"/>
      <protection hidden="1"/>
    </xf>
    <xf numFmtId="9" fontId="20" fillId="5" borderId="21" xfId="2" applyFont="1" applyFill="1" applyBorder="1" applyAlignment="1" applyProtection="1">
      <alignment horizontal="center" vertical="center" shrinkToFit="1"/>
      <protection hidden="1"/>
    </xf>
    <xf numFmtId="9" fontId="20" fillId="5" borderId="42" xfId="2" applyFont="1" applyFill="1" applyBorder="1" applyAlignment="1" applyProtection="1">
      <alignment horizontal="center" vertical="center" shrinkToFit="1"/>
      <protection hidden="1"/>
    </xf>
    <xf numFmtId="9" fontId="20" fillId="5" borderId="0" xfId="2" applyFont="1" applyFill="1" applyBorder="1" applyAlignment="1" applyProtection="1">
      <alignment horizontal="center" vertical="center" shrinkToFit="1"/>
      <protection hidden="1"/>
    </xf>
    <xf numFmtId="9" fontId="20" fillId="5" borderId="38" xfId="2" applyFont="1" applyFill="1" applyBorder="1" applyAlignment="1" applyProtection="1">
      <alignment horizontal="center" vertical="center" shrinkToFit="1"/>
      <protection hidden="1"/>
    </xf>
    <xf numFmtId="9" fontId="20" fillId="5" borderId="6" xfId="2" applyFont="1" applyFill="1" applyBorder="1" applyAlignment="1" applyProtection="1">
      <alignment horizontal="center" vertical="center" shrinkToFit="1"/>
      <protection hidden="1"/>
    </xf>
    <xf numFmtId="184" fontId="23" fillId="0" borderId="53" xfId="0" applyNumberFormat="1" applyFont="1" applyBorder="1" applyAlignment="1" applyProtection="1">
      <alignment horizontal="center" vertical="center"/>
      <protection hidden="1"/>
    </xf>
    <xf numFmtId="184" fontId="23" fillId="0" borderId="54" xfId="0" applyNumberFormat="1" applyFont="1" applyBorder="1" applyAlignment="1" applyProtection="1">
      <alignment horizontal="center" vertical="center"/>
      <protection hidden="1"/>
    </xf>
    <xf numFmtId="174" fontId="11" fillId="10" borderId="14" xfId="0" applyNumberFormat="1" applyFont="1" applyFill="1" applyBorder="1" applyAlignment="1" applyProtection="1">
      <alignment horizontal="center" vertical="center"/>
      <protection hidden="1"/>
    </xf>
    <xf numFmtId="174" fontId="11" fillId="10" borderId="2" xfId="0" applyNumberFormat="1" applyFont="1" applyFill="1" applyBorder="1" applyAlignment="1" applyProtection="1">
      <alignment horizontal="center" vertical="center"/>
      <protection hidden="1"/>
    </xf>
    <xf numFmtId="0" fontId="13" fillId="10" borderId="13" xfId="0" applyFont="1" applyFill="1" applyBorder="1" applyAlignment="1" applyProtection="1">
      <alignment horizontal="center"/>
      <protection hidden="1"/>
    </xf>
    <xf numFmtId="0" fontId="13" fillId="10" borderId="60" xfId="0" applyFont="1" applyFill="1" applyBorder="1" applyAlignment="1" applyProtection="1">
      <alignment horizontal="center"/>
      <protection hidden="1"/>
    </xf>
    <xf numFmtId="181" fontId="18" fillId="10" borderId="6" xfId="0" applyNumberFormat="1" applyFont="1" applyFill="1" applyBorder="1" applyAlignment="1" applyProtection="1">
      <alignment horizontal="center" vertical="center" shrinkToFit="1"/>
      <protection hidden="1"/>
    </xf>
    <xf numFmtId="181" fontId="18" fillId="10" borderId="61" xfId="0" applyNumberFormat="1" applyFont="1" applyFill="1" applyBorder="1" applyAlignment="1" applyProtection="1">
      <alignment horizontal="center" vertical="center" shrinkToFit="1"/>
      <protection hidden="1"/>
    </xf>
    <xf numFmtId="191" fontId="20" fillId="8" borderId="50" xfId="0" applyNumberFormat="1" applyFont="1" applyFill="1" applyBorder="1" applyAlignment="1" applyProtection="1">
      <alignment horizontal="center" vertical="center" shrinkToFit="1"/>
      <protection hidden="1"/>
    </xf>
    <xf numFmtId="191" fontId="20" fillId="8" borderId="51" xfId="0" applyNumberFormat="1" applyFont="1" applyFill="1" applyBorder="1" applyAlignment="1" applyProtection="1">
      <alignment horizontal="center" vertical="center" shrinkToFit="1"/>
      <protection hidden="1"/>
    </xf>
    <xf numFmtId="44" fontId="13" fillId="0" borderId="8" xfId="1" applyFont="1" applyBorder="1" applyAlignment="1" applyProtection="1">
      <alignment horizontal="center" vertical="center"/>
      <protection hidden="1"/>
    </xf>
    <xf numFmtId="0" fontId="2" fillId="0" borderId="78" xfId="0" applyFont="1" applyBorder="1" applyAlignment="1" applyProtection="1">
      <alignment horizontal="center" vertical="center"/>
      <protection hidden="1"/>
    </xf>
    <xf numFmtId="0" fontId="2" fillId="0" borderId="79" xfId="0" applyFont="1" applyBorder="1" applyAlignment="1" applyProtection="1">
      <alignment horizontal="center" vertical="center"/>
      <protection hidden="1"/>
    </xf>
    <xf numFmtId="203" fontId="6" fillId="3" borderId="38" xfId="0" applyNumberFormat="1" applyFont="1" applyFill="1" applyBorder="1" applyAlignment="1" applyProtection="1">
      <alignment horizontal="center" vertical="center" shrinkToFit="1"/>
      <protection locked="0" hidden="1"/>
    </xf>
    <xf numFmtId="203" fontId="6" fillId="3" borderId="1" xfId="0" applyNumberFormat="1" applyFont="1" applyFill="1" applyBorder="1" applyAlignment="1" applyProtection="1">
      <alignment horizontal="center" vertical="center" shrinkToFit="1"/>
      <protection locked="0" hidden="1"/>
    </xf>
    <xf numFmtId="0" fontId="2" fillId="0" borderId="73" xfId="0" applyFont="1" applyBorder="1" applyAlignment="1" applyProtection="1">
      <alignment horizontal="center" vertical="center"/>
      <protection hidden="1"/>
    </xf>
    <xf numFmtId="16" fontId="5" fillId="4" borderId="14" xfId="0" applyNumberFormat="1" applyFont="1" applyFill="1" applyBorder="1" applyAlignment="1" applyProtection="1">
      <alignment horizontal="center" vertical="center"/>
      <protection hidden="1"/>
    </xf>
    <xf numFmtId="16" fontId="5" fillId="4" borderId="13" xfId="0" applyNumberFormat="1" applyFont="1" applyFill="1" applyBorder="1" applyAlignment="1" applyProtection="1">
      <alignment horizontal="center" vertical="center"/>
      <protection hidden="1"/>
    </xf>
    <xf numFmtId="16" fontId="5" fillId="4" borderId="12" xfId="0" applyNumberFormat="1" applyFont="1" applyFill="1" applyBorder="1" applyAlignment="1" applyProtection="1">
      <alignment horizontal="center" vertical="center"/>
      <protection hidden="1"/>
    </xf>
    <xf numFmtId="16" fontId="5" fillId="4" borderId="2" xfId="0" applyNumberFormat="1" applyFont="1" applyFill="1" applyBorder="1" applyAlignment="1" applyProtection="1">
      <alignment horizontal="center" vertical="center"/>
      <protection hidden="1"/>
    </xf>
    <xf numFmtId="16" fontId="5" fillId="4" borderId="6" xfId="0" applyNumberFormat="1" applyFont="1" applyFill="1" applyBorder="1" applyAlignment="1" applyProtection="1">
      <alignment horizontal="center" vertical="center"/>
      <protection hidden="1"/>
    </xf>
    <xf numFmtId="16" fontId="5" fillId="4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7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8" fontId="7" fillId="5" borderId="81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6" xfId="0" applyNumberFormat="1" applyFont="1" applyFill="1" applyBorder="1" applyAlignment="1" applyProtection="1">
      <alignment horizontal="center" vertical="center" shrinkToFit="1"/>
      <protection hidden="1"/>
    </xf>
    <xf numFmtId="168" fontId="7" fillId="5" borderId="67" xfId="0" applyNumberFormat="1" applyFont="1" applyFill="1" applyBorder="1" applyAlignment="1" applyProtection="1">
      <alignment horizontal="center" vertical="center" shrinkToFit="1"/>
      <protection hidden="1"/>
    </xf>
    <xf numFmtId="44" fontId="6" fillId="3" borderId="10" xfId="1" applyFont="1" applyFill="1" applyBorder="1" applyAlignment="1" applyProtection="1">
      <alignment horizontal="center" vertical="center" shrinkToFit="1"/>
      <protection locked="0" hidden="1"/>
    </xf>
    <xf numFmtId="44" fontId="6" fillId="3" borderId="9" xfId="1" applyFont="1" applyFill="1" applyBorder="1" applyAlignment="1" applyProtection="1">
      <alignment horizontal="center" vertical="center" shrinkToFit="1"/>
      <protection locked="0" hidden="1"/>
    </xf>
    <xf numFmtId="44" fontId="6" fillId="3" borderId="4" xfId="1" applyFont="1" applyFill="1" applyBorder="1" applyAlignment="1" applyProtection="1">
      <alignment horizontal="center" vertical="center" shrinkToFit="1"/>
      <protection locked="0" hidden="1"/>
    </xf>
    <xf numFmtId="44" fontId="6" fillId="3" borderId="3" xfId="1" applyFont="1" applyFill="1" applyBorder="1" applyAlignment="1" applyProtection="1">
      <alignment horizontal="center" vertical="center" shrinkToFit="1"/>
      <protection locked="0" hidden="1"/>
    </xf>
    <xf numFmtId="168" fontId="7" fillId="4" borderId="8" xfId="0" applyNumberFormat="1" applyFont="1" applyFill="1" applyBorder="1" applyAlignment="1" applyProtection="1">
      <alignment horizontal="center" vertical="center"/>
      <protection hidden="1"/>
    </xf>
    <xf numFmtId="168" fontId="7" fillId="4" borderId="0" xfId="0" applyNumberFormat="1" applyFont="1" applyFill="1" applyAlignment="1" applyProtection="1">
      <alignment horizontal="center" vertical="center"/>
      <protection hidden="1"/>
    </xf>
    <xf numFmtId="168" fontId="7" fillId="4" borderId="7" xfId="0" applyNumberFormat="1" applyFont="1" applyFill="1" applyBorder="1" applyAlignment="1" applyProtection="1">
      <alignment horizontal="center" vertical="center"/>
      <protection hidden="1"/>
    </xf>
    <xf numFmtId="0" fontId="2" fillId="7" borderId="6" xfId="0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174" fontId="7" fillId="7" borderId="13" xfId="0" applyNumberFormat="1" applyFont="1" applyFill="1" applyBorder="1" applyAlignment="1" applyProtection="1">
      <alignment horizontal="center" vertical="center"/>
      <protection hidden="1"/>
    </xf>
    <xf numFmtId="174" fontId="7" fillId="7" borderId="12" xfId="0" applyNumberFormat="1" applyFont="1" applyFill="1" applyBorder="1" applyAlignment="1" applyProtection="1">
      <alignment horizontal="center" vertical="center"/>
      <protection hidden="1"/>
    </xf>
    <xf numFmtId="172" fontId="7" fillId="7" borderId="71" xfId="0" applyNumberFormat="1" applyFont="1" applyFill="1" applyBorder="1" applyAlignment="1" applyProtection="1">
      <alignment horizontal="center" vertical="center" wrapText="1"/>
      <protection hidden="1"/>
    </xf>
    <xf numFmtId="172" fontId="7" fillId="7" borderId="72" xfId="0" applyNumberFormat="1" applyFont="1" applyFill="1" applyBorder="1" applyAlignment="1" applyProtection="1">
      <alignment horizontal="center" vertical="center" wrapText="1"/>
      <protection hidden="1"/>
    </xf>
    <xf numFmtId="4" fontId="51" fillId="3" borderId="2" xfId="0" applyNumberFormat="1" applyFont="1" applyFill="1" applyBorder="1" applyAlignment="1" applyProtection="1">
      <alignment horizontal="center" vertical="center"/>
      <protection locked="0" hidden="1"/>
    </xf>
    <xf numFmtId="4" fontId="51" fillId="3" borderId="6" xfId="0" applyNumberFormat="1" applyFont="1" applyFill="1" applyBorder="1" applyAlignment="1" applyProtection="1">
      <alignment horizontal="center" vertical="center"/>
      <protection locked="0" hidden="1"/>
    </xf>
    <xf numFmtId="4" fontId="51" fillId="3" borderId="1" xfId="0" applyNumberFormat="1" applyFont="1" applyFill="1" applyBorder="1" applyAlignment="1" applyProtection="1">
      <alignment horizontal="center" vertical="center"/>
      <protection locked="0" hidden="1"/>
    </xf>
    <xf numFmtId="3" fontId="51" fillId="3" borderId="2" xfId="0" applyNumberFormat="1" applyFont="1" applyFill="1" applyBorder="1" applyAlignment="1" applyProtection="1">
      <alignment horizontal="center" vertical="center"/>
      <protection locked="0" hidden="1"/>
    </xf>
    <xf numFmtId="3" fontId="51" fillId="3" borderId="6" xfId="0" applyNumberFormat="1" applyFont="1" applyFill="1" applyBorder="1" applyAlignment="1" applyProtection="1">
      <alignment horizontal="center" vertical="center"/>
      <protection locked="0" hidden="1"/>
    </xf>
    <xf numFmtId="3" fontId="51" fillId="3" borderId="1" xfId="0" applyNumberFormat="1" applyFont="1" applyFill="1" applyBorder="1" applyAlignment="1" applyProtection="1">
      <alignment horizontal="center" vertical="center"/>
      <protection locked="0" hidden="1"/>
    </xf>
    <xf numFmtId="7" fontId="37" fillId="2" borderId="14" xfId="0" applyNumberFormat="1" applyFont="1" applyFill="1" applyBorder="1" applyAlignment="1" applyProtection="1">
      <alignment horizontal="center" vertical="center"/>
      <protection hidden="1"/>
    </xf>
    <xf numFmtId="0" fontId="37" fillId="2" borderId="74" xfId="0" applyFont="1" applyFill="1" applyBorder="1" applyAlignment="1" applyProtection="1">
      <alignment horizontal="center" vertical="center"/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0" fontId="37" fillId="2" borderId="70" xfId="0" applyFont="1" applyFill="1" applyBorder="1" applyAlignment="1" applyProtection="1">
      <alignment horizontal="center" vertical="center"/>
      <protection hidden="1"/>
    </xf>
    <xf numFmtId="0" fontId="37" fillId="2" borderId="78" xfId="0" applyFont="1" applyFill="1" applyBorder="1" applyAlignment="1" applyProtection="1">
      <alignment horizontal="center" vertical="center"/>
      <protection hidden="1"/>
    </xf>
    <xf numFmtId="0" fontId="37" fillId="2" borderId="80" xfId="0" applyFont="1" applyFill="1" applyBorder="1" applyAlignment="1" applyProtection="1">
      <alignment horizontal="center" vertical="center"/>
      <protection hidden="1"/>
    </xf>
    <xf numFmtId="184" fontId="5" fillId="4" borderId="14" xfId="0" applyNumberFormat="1" applyFont="1" applyFill="1" applyBorder="1" applyAlignment="1" applyProtection="1">
      <alignment horizontal="center" vertical="center"/>
      <protection hidden="1"/>
    </xf>
    <xf numFmtId="184" fontId="5" fillId="4" borderId="12" xfId="0" applyNumberFormat="1" applyFont="1" applyFill="1" applyBorder="1" applyAlignment="1" applyProtection="1">
      <alignment horizontal="center" vertical="center"/>
      <protection hidden="1"/>
    </xf>
    <xf numFmtId="184" fontId="5" fillId="4" borderId="2" xfId="0" applyNumberFormat="1" applyFont="1" applyFill="1" applyBorder="1" applyAlignment="1" applyProtection="1">
      <alignment horizontal="center" vertical="center"/>
      <protection hidden="1"/>
    </xf>
    <xf numFmtId="184" fontId="5" fillId="4" borderId="1" xfId="0" applyNumberFormat="1" applyFont="1" applyFill="1" applyBorder="1" applyAlignment="1" applyProtection="1">
      <alignment horizontal="center" vertical="center"/>
      <protection hidden="1"/>
    </xf>
    <xf numFmtId="7" fontId="4" fillId="3" borderId="78" xfId="0" applyNumberFormat="1" applyFont="1" applyFill="1" applyBorder="1" applyAlignment="1" applyProtection="1">
      <alignment horizontal="center" vertical="center"/>
      <protection locked="0" hidden="1"/>
    </xf>
    <xf numFmtId="7" fontId="4" fillId="3" borderId="79" xfId="0" applyNumberFormat="1" applyFont="1" applyFill="1" applyBorder="1" applyAlignment="1" applyProtection="1">
      <alignment horizontal="center" vertical="center"/>
      <protection locked="0" hidden="1"/>
    </xf>
    <xf numFmtId="174" fontId="36" fillId="0" borderId="35" xfId="0" applyNumberFormat="1" applyFont="1" applyBorder="1" applyAlignment="1" applyProtection="1">
      <alignment horizontal="center"/>
      <protection hidden="1"/>
    </xf>
    <xf numFmtId="174" fontId="36" fillId="0" borderId="36" xfId="0" applyNumberFormat="1" applyFont="1" applyBorder="1" applyAlignment="1" applyProtection="1">
      <alignment horizontal="center"/>
      <protection hidden="1"/>
    </xf>
    <xf numFmtId="174" fontId="36" fillId="0" borderId="68" xfId="0" applyNumberFormat="1" applyFont="1" applyBorder="1" applyAlignment="1" applyProtection="1">
      <alignment horizontal="center"/>
      <protection hidden="1"/>
    </xf>
    <xf numFmtId="168" fontId="7" fillId="4" borderId="14" xfId="0" applyNumberFormat="1" applyFont="1" applyFill="1" applyBorder="1" applyAlignment="1" applyProtection="1">
      <alignment horizontal="center" vertical="center"/>
      <protection hidden="1"/>
    </xf>
    <xf numFmtId="168" fontId="7" fillId="4" borderId="13" xfId="0" applyNumberFormat="1" applyFont="1" applyFill="1" applyBorder="1" applyAlignment="1" applyProtection="1">
      <alignment horizontal="center" vertical="center"/>
      <protection hidden="1"/>
    </xf>
    <xf numFmtId="168" fontId="7" fillId="4" borderId="12" xfId="0" applyNumberFormat="1" applyFont="1" applyFill="1" applyBorder="1" applyAlignment="1" applyProtection="1">
      <alignment horizontal="center" vertical="center"/>
      <protection hidden="1"/>
    </xf>
    <xf numFmtId="204" fontId="40" fillId="3" borderId="2" xfId="0" applyNumberFormat="1" applyFont="1" applyFill="1" applyBorder="1" applyAlignment="1">
      <alignment horizontal="center"/>
    </xf>
    <xf numFmtId="204" fontId="40" fillId="3" borderId="6" xfId="0" applyNumberFormat="1" applyFont="1" applyFill="1" applyBorder="1" applyAlignment="1">
      <alignment horizontal="center"/>
    </xf>
    <xf numFmtId="204" fontId="40" fillId="3" borderId="1" xfId="0" applyNumberFormat="1" applyFont="1" applyFill="1" applyBorder="1" applyAlignment="1">
      <alignment horizontal="center"/>
    </xf>
    <xf numFmtId="172" fontId="7" fillId="7" borderId="8" xfId="0" applyNumberFormat="1" applyFont="1" applyFill="1" applyBorder="1" applyAlignment="1" applyProtection="1">
      <alignment horizontal="center" vertical="center" wrapText="1"/>
      <protection hidden="1"/>
    </xf>
    <xf numFmtId="178" fontId="2" fillId="0" borderId="13" xfId="0" applyNumberFormat="1" applyFont="1" applyBorder="1" applyAlignment="1" applyProtection="1">
      <alignment horizontal="center" vertical="center"/>
      <protection hidden="1"/>
    </xf>
    <xf numFmtId="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14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0" xfId="0" applyBorder="1" applyProtection="1">
      <protection hidden="1"/>
    </xf>
    <xf numFmtId="44" fontId="55" fillId="0" borderId="12" xfId="1" applyFont="1" applyBorder="1" applyProtection="1">
      <protection hidden="1"/>
    </xf>
    <xf numFmtId="44" fontId="55" fillId="0" borderId="7" xfId="1" applyFont="1" applyBorder="1" applyProtection="1">
      <protection hidden="1"/>
    </xf>
    <xf numFmtId="0" fontId="0" fillId="0" borderId="8" xfId="0" applyBorder="1" applyAlignment="1" applyProtection="1">
      <alignment vertical="center"/>
      <protection hidden="1"/>
    </xf>
    <xf numFmtId="7" fontId="42" fillId="0" borderId="7" xfId="0" applyNumberFormat="1" applyFont="1" applyBorder="1" applyAlignment="1" applyProtection="1">
      <alignment horizontal="right" vertical="center"/>
      <protection hidden="1"/>
    </xf>
    <xf numFmtId="10" fontId="50" fillId="3" borderId="0" xfId="0" applyNumberFormat="1" applyFont="1" applyFill="1" applyBorder="1" applyAlignment="1" applyProtection="1">
      <alignment vertical="center"/>
      <protection hidden="1"/>
    </xf>
    <xf numFmtId="44" fontId="42" fillId="0" borderId="0" xfId="0" applyNumberFormat="1" applyFont="1" applyBorder="1" applyAlignment="1" applyProtection="1">
      <alignment horizontal="right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60A0-C586-4FCC-96CB-F80821A1D909}">
  <dimension ref="A1:K23"/>
  <sheetViews>
    <sheetView showGridLines="0" showZeros="0" view="pageBreakPreview" zoomScale="130" zoomScaleNormal="130" zoomScaleSheetLayoutView="130" workbookViewId="0">
      <selection activeCell="E8" sqref="E8"/>
    </sheetView>
  </sheetViews>
  <sheetFormatPr defaultRowHeight="15" x14ac:dyDescent="0.25"/>
  <cols>
    <col min="1" max="1" width="20.5703125" style="1" bestFit="1" customWidth="1"/>
    <col min="2" max="2" width="7" style="1" bestFit="1" customWidth="1"/>
    <col min="3" max="3" width="9.85546875" style="1" bestFit="1" customWidth="1"/>
    <col min="4" max="4" width="7.28515625" style="1" bestFit="1" customWidth="1"/>
    <col min="5" max="5" width="13.85546875" style="1" bestFit="1" customWidth="1"/>
    <col min="6" max="6" width="11.42578125" style="1" bestFit="1" customWidth="1"/>
    <col min="7" max="7" width="10.140625" style="1" bestFit="1" customWidth="1"/>
    <col min="8" max="8" width="10.5703125" style="1" bestFit="1" customWidth="1"/>
    <col min="9" max="9" width="12" style="1" bestFit="1" customWidth="1"/>
    <col min="10" max="10" width="9.85546875" style="1" bestFit="1" customWidth="1"/>
    <col min="11" max="16384" width="9.140625" style="1"/>
  </cols>
  <sheetData>
    <row r="1" spans="1:11" x14ac:dyDescent="0.25">
      <c r="A1" s="590" t="s">
        <v>13</v>
      </c>
      <c r="B1" s="591"/>
      <c r="C1" s="591"/>
      <c r="D1" s="591"/>
      <c r="E1" s="591"/>
      <c r="F1" s="591"/>
      <c r="G1" s="591"/>
      <c r="H1" s="591"/>
      <c r="I1" s="592"/>
      <c r="J1" s="3"/>
      <c r="K1" s="3"/>
    </row>
    <row r="2" spans="1:11" ht="18" customHeight="1" thickBot="1" x14ac:dyDescent="0.3">
      <c r="A2" s="593"/>
      <c r="B2" s="594"/>
      <c r="C2" s="594"/>
      <c r="D2" s="594"/>
      <c r="E2" s="594"/>
      <c r="F2" s="594"/>
      <c r="G2" s="594"/>
      <c r="H2" s="594"/>
      <c r="I2" s="595"/>
      <c r="J2" s="3"/>
      <c r="K2" s="3"/>
    </row>
    <row r="3" spans="1:11" s="17" customFormat="1" ht="18" customHeight="1" thickBot="1" x14ac:dyDescent="0.3">
      <c r="A3" s="22"/>
      <c r="B3" s="21"/>
      <c r="C3" s="21"/>
      <c r="D3" s="21"/>
      <c r="E3" s="21"/>
      <c r="F3" s="21"/>
      <c r="G3" s="21"/>
      <c r="H3" s="21"/>
      <c r="I3" s="20"/>
      <c r="J3" s="19"/>
      <c r="K3" s="19"/>
    </row>
    <row r="4" spans="1:11" x14ac:dyDescent="0.25">
      <c r="A4" s="596" t="s">
        <v>23</v>
      </c>
      <c r="B4" s="597"/>
      <c r="C4" s="597"/>
      <c r="D4" s="67" t="s">
        <v>12</v>
      </c>
      <c r="E4" s="68" t="s">
        <v>11</v>
      </c>
      <c r="F4" s="16"/>
      <c r="G4" s="600" t="s">
        <v>22</v>
      </c>
      <c r="H4" s="601"/>
      <c r="I4" s="602"/>
      <c r="J4" s="3"/>
      <c r="K4" s="2"/>
    </row>
    <row r="5" spans="1:11" ht="15.75" thickBot="1" x14ac:dyDescent="0.3">
      <c r="A5" s="598"/>
      <c r="B5" s="599"/>
      <c r="C5" s="599"/>
      <c r="D5" s="69">
        <v>1</v>
      </c>
      <c r="E5" s="70">
        <f>C19/C20</f>
        <v>1.4878124999999999E-2</v>
      </c>
      <c r="F5" s="13"/>
      <c r="G5" s="603">
        <v>1000</v>
      </c>
      <c r="H5" s="604"/>
      <c r="I5" s="605"/>
      <c r="J5" s="27"/>
      <c r="K5" s="3"/>
    </row>
    <row r="6" spans="1:11" ht="15.75" thickBot="1" x14ac:dyDescent="0.3">
      <c r="A6" s="66"/>
      <c r="B6" s="29"/>
      <c r="C6" s="29"/>
      <c r="D6" s="75"/>
      <c r="E6" s="76"/>
      <c r="F6" s="13"/>
      <c r="G6" s="2"/>
      <c r="H6" s="2"/>
      <c r="I6" s="14"/>
      <c r="J6" s="3"/>
      <c r="K6" s="3"/>
    </row>
    <row r="7" spans="1:11" ht="15.75" thickBot="1" x14ac:dyDescent="0.3">
      <c r="A7" s="606" t="s">
        <v>19</v>
      </c>
      <c r="B7" s="607"/>
      <c r="C7" s="608"/>
      <c r="D7" s="77"/>
      <c r="E7" s="78"/>
      <c r="F7" s="13"/>
      <c r="G7" s="2"/>
      <c r="H7" s="2"/>
      <c r="I7" s="14"/>
      <c r="J7" s="3"/>
      <c r="K7" s="3"/>
    </row>
    <row r="8" spans="1:11" x14ac:dyDescent="0.25">
      <c r="A8" s="42" t="s">
        <v>10</v>
      </c>
      <c r="B8" s="87">
        <v>3.5</v>
      </c>
      <c r="C8" s="44">
        <f>B8*1/50</f>
        <v>7.0000000000000007E-2</v>
      </c>
      <c r="D8" s="84">
        <f t="shared" ref="D8:D14" si="0">C8/$C$19</f>
        <v>0.29405587061541699</v>
      </c>
      <c r="E8" s="72">
        <f>$E$5*D8</f>
        <v>4.3750000000000004E-3</v>
      </c>
      <c r="F8" s="45"/>
      <c r="G8" s="46">
        <f>G5*E8</f>
        <v>4.375</v>
      </c>
      <c r="H8" s="47">
        <v>110</v>
      </c>
      <c r="I8" s="48">
        <f>G8*H8</f>
        <v>481.25</v>
      </c>
      <c r="J8" s="49"/>
      <c r="K8" s="50"/>
    </row>
    <row r="9" spans="1:11" x14ac:dyDescent="0.25">
      <c r="A9" s="31" t="s">
        <v>9</v>
      </c>
      <c r="B9" s="88">
        <v>7.5</v>
      </c>
      <c r="C9" s="33">
        <f>B9/1/50</f>
        <v>0.15</v>
      </c>
      <c r="D9" s="85">
        <f t="shared" si="0"/>
        <v>0.63011972274732198</v>
      </c>
      <c r="E9" s="74">
        <f>$E$5*D9</f>
        <v>9.3749999999999997E-3</v>
      </c>
      <c r="F9" s="13"/>
      <c r="G9" s="37">
        <f>E9*$G$5</f>
        <v>9.375</v>
      </c>
      <c r="H9" s="11">
        <v>170</v>
      </c>
      <c r="I9" s="9">
        <f t="shared" ref="I9:I14" si="1">G9*H9</f>
        <v>1593.75</v>
      </c>
      <c r="J9" s="28"/>
      <c r="K9" s="3"/>
    </row>
    <row r="10" spans="1:11" x14ac:dyDescent="0.25">
      <c r="A10" s="42" t="s">
        <v>8</v>
      </c>
      <c r="B10" s="87">
        <v>0</v>
      </c>
      <c r="C10" s="52"/>
      <c r="D10" s="84">
        <f t="shared" si="0"/>
        <v>0</v>
      </c>
      <c r="E10" s="72">
        <f t="shared" ref="E10:E14" si="2">$E$5*D10</f>
        <v>0</v>
      </c>
      <c r="F10" s="45"/>
      <c r="G10" s="53">
        <f>E10*$G$5</f>
        <v>0</v>
      </c>
      <c r="H10" s="54"/>
      <c r="I10" s="55">
        <f t="shared" si="1"/>
        <v>0</v>
      </c>
      <c r="J10" s="50"/>
      <c r="K10" s="50"/>
    </row>
    <row r="11" spans="1:11" x14ac:dyDescent="0.25">
      <c r="A11" s="31" t="s">
        <v>7</v>
      </c>
      <c r="B11" s="88">
        <v>0</v>
      </c>
      <c r="C11" s="34"/>
      <c r="D11" s="85">
        <f t="shared" si="0"/>
        <v>0</v>
      </c>
      <c r="E11" s="74">
        <f t="shared" si="2"/>
        <v>0</v>
      </c>
      <c r="F11" s="45"/>
      <c r="G11" s="37">
        <f>E11*$G$5</f>
        <v>0</v>
      </c>
      <c r="H11" s="11">
        <v>175</v>
      </c>
      <c r="I11" s="9">
        <f t="shared" si="1"/>
        <v>0</v>
      </c>
      <c r="J11" s="3"/>
      <c r="K11" s="3"/>
    </row>
    <row r="12" spans="1:11" x14ac:dyDescent="0.25">
      <c r="A12" s="42" t="s">
        <v>6</v>
      </c>
      <c r="B12" s="87">
        <v>0</v>
      </c>
      <c r="C12" s="52"/>
      <c r="D12" s="84">
        <f t="shared" si="0"/>
        <v>0</v>
      </c>
      <c r="E12" s="72">
        <f t="shared" si="2"/>
        <v>0</v>
      </c>
      <c r="F12" s="45"/>
      <c r="G12" s="53">
        <f>E12*$G$5</f>
        <v>0</v>
      </c>
      <c r="H12" s="54"/>
      <c r="I12" s="55">
        <f t="shared" si="1"/>
        <v>0</v>
      </c>
      <c r="J12" s="50"/>
      <c r="K12" s="50"/>
    </row>
    <row r="13" spans="1:11" x14ac:dyDescent="0.25">
      <c r="A13" s="35" t="s">
        <v>5</v>
      </c>
      <c r="B13" s="89">
        <v>0.05</v>
      </c>
      <c r="C13" s="33">
        <f>B13*0.001/1</f>
        <v>5.0000000000000002E-5</v>
      </c>
      <c r="D13" s="85">
        <f t="shared" si="0"/>
        <v>2.1003990758244068E-4</v>
      </c>
      <c r="E13" s="74">
        <f>$E$5*D13</f>
        <v>3.1250000000000001E-6</v>
      </c>
      <c r="F13" s="45"/>
      <c r="G13" s="38">
        <f>B13/C20*G5</f>
        <v>3.125</v>
      </c>
      <c r="H13" s="11">
        <f>462</f>
        <v>462</v>
      </c>
      <c r="I13" s="9">
        <f>H13/53*G13</f>
        <v>27.240566037735846</v>
      </c>
      <c r="J13" s="3"/>
      <c r="K13" s="3"/>
    </row>
    <row r="14" spans="1:11" ht="15.75" thickBot="1" x14ac:dyDescent="0.3">
      <c r="A14" s="56" t="s">
        <v>4</v>
      </c>
      <c r="B14" s="90">
        <v>0.5</v>
      </c>
      <c r="C14" s="58">
        <f>B14*0.036/1</f>
        <v>1.7999999999999999E-2</v>
      </c>
      <c r="D14" s="84">
        <f t="shared" si="0"/>
        <v>7.5614366729678639E-2</v>
      </c>
      <c r="E14" s="72">
        <f t="shared" si="2"/>
        <v>1.1249999999999999E-3</v>
      </c>
      <c r="F14" s="45"/>
      <c r="G14" s="59">
        <f>E14*$G$5/0.036</f>
        <v>31.250000000000004</v>
      </c>
      <c r="H14" s="54">
        <v>35</v>
      </c>
      <c r="I14" s="55">
        <f t="shared" si="1"/>
        <v>1093.7500000000002</v>
      </c>
      <c r="J14" s="50"/>
      <c r="K14" s="50"/>
    </row>
    <row r="15" spans="1:11" ht="15.75" thickBot="1" x14ac:dyDescent="0.3">
      <c r="A15" s="79"/>
      <c r="B15" s="80"/>
      <c r="C15" s="81"/>
      <c r="D15" s="86"/>
      <c r="E15" s="83"/>
      <c r="F15" s="45"/>
      <c r="G15" s="59"/>
      <c r="H15" s="54"/>
      <c r="I15" s="55"/>
      <c r="J15" s="50"/>
      <c r="K15" s="50"/>
    </row>
    <row r="16" spans="1:11" ht="15.75" thickBot="1" x14ac:dyDescent="0.3">
      <c r="A16" s="582" t="s">
        <v>20</v>
      </c>
      <c r="B16" s="583"/>
      <c r="C16" s="584"/>
      <c r="D16" s="585">
        <v>3</v>
      </c>
      <c r="E16" s="586"/>
      <c r="F16" s="4"/>
      <c r="G16" s="61">
        <f>G5/D17</f>
        <v>6.25</v>
      </c>
      <c r="H16" s="11">
        <v>120</v>
      </c>
      <c r="I16" s="9">
        <f>(D16*H16)*G16</f>
        <v>2250</v>
      </c>
      <c r="J16" s="27"/>
      <c r="K16" s="3"/>
    </row>
    <row r="17" spans="1:11" ht="15.75" thickBot="1" x14ac:dyDescent="0.3">
      <c r="A17" s="587" t="s">
        <v>21</v>
      </c>
      <c r="B17" s="588"/>
      <c r="C17" s="589"/>
      <c r="D17" s="609">
        <v>160</v>
      </c>
      <c r="E17" s="610"/>
      <c r="F17" s="4"/>
      <c r="G17" s="39" t="s">
        <v>2</v>
      </c>
      <c r="H17" s="40">
        <v>7.0000000000000007E-2</v>
      </c>
      <c r="I17" s="41">
        <f>G21*H17*G5</f>
        <v>385</v>
      </c>
      <c r="J17" s="3"/>
      <c r="K17" s="3"/>
    </row>
    <row r="18" spans="1:11" ht="15" customHeight="1" thickBot="1" x14ac:dyDescent="0.3">
      <c r="A18" s="63"/>
      <c r="D18" s="8"/>
      <c r="E18" s="7"/>
      <c r="F18" s="4"/>
      <c r="G18" s="25"/>
      <c r="H18" s="6"/>
      <c r="I18" s="9"/>
      <c r="J18" s="3"/>
      <c r="K18" s="3"/>
    </row>
    <row r="19" spans="1:11" ht="15.75" customHeight="1" x14ac:dyDescent="0.25">
      <c r="A19" s="611" t="s">
        <v>17</v>
      </c>
      <c r="B19" s="612"/>
      <c r="C19" s="26">
        <f>SUM(C8:C14)</f>
        <v>0.23804999999999998</v>
      </c>
      <c r="D19" s="8"/>
      <c r="E19" s="600" t="s">
        <v>1</v>
      </c>
      <c r="F19" s="602"/>
      <c r="G19" s="615">
        <f>SUM(I8:I17)/G5</f>
        <v>5.8309905660377366</v>
      </c>
      <c r="H19" s="616"/>
      <c r="I19" s="617"/>
      <c r="J19" s="621">
        <f>(G21*G5)-(G19*G5)</f>
        <v>-330.99056603773624</v>
      </c>
      <c r="K19" s="622"/>
    </row>
    <row r="20" spans="1:11" ht="15" customHeight="1" thickBot="1" x14ac:dyDescent="0.3">
      <c r="A20" s="64" t="s">
        <v>18</v>
      </c>
      <c r="B20" s="15"/>
      <c r="C20" s="91">
        <v>16</v>
      </c>
      <c r="D20" s="8"/>
      <c r="E20" s="613"/>
      <c r="F20" s="614"/>
      <c r="G20" s="618"/>
      <c r="H20" s="619"/>
      <c r="I20" s="620"/>
      <c r="J20" s="623"/>
      <c r="K20" s="624"/>
    </row>
    <row r="21" spans="1:11" ht="15.75" customHeight="1" x14ac:dyDescent="0.25">
      <c r="A21" s="5"/>
      <c r="B21" s="2"/>
      <c r="C21" s="2"/>
      <c r="D21" s="8"/>
      <c r="E21" s="600" t="s">
        <v>0</v>
      </c>
      <c r="F21" s="602"/>
      <c r="G21" s="627">
        <v>5.5</v>
      </c>
      <c r="H21" s="628"/>
      <c r="I21" s="629"/>
      <c r="J21" s="623"/>
      <c r="K21" s="624"/>
    </row>
    <row r="22" spans="1:11" ht="15.75" thickBot="1" x14ac:dyDescent="0.3">
      <c r="A22" s="65"/>
      <c r="B22" s="62"/>
      <c r="C22" s="62"/>
      <c r="D22" s="62"/>
      <c r="E22" s="613"/>
      <c r="F22" s="614"/>
      <c r="G22" s="630"/>
      <c r="H22" s="631"/>
      <c r="I22" s="632"/>
      <c r="J22" s="625"/>
      <c r="K22" s="626"/>
    </row>
    <row r="23" spans="1:11" x14ac:dyDescent="0.25">
      <c r="A23" s="2"/>
      <c r="B23" s="2"/>
      <c r="C23" s="2"/>
      <c r="D23" s="4"/>
      <c r="E23" s="3"/>
      <c r="F23" s="2"/>
      <c r="G23" s="3"/>
      <c r="H23" s="3"/>
      <c r="I23" s="3"/>
      <c r="J23" s="2"/>
      <c r="K23" s="2"/>
    </row>
  </sheetData>
  <mergeCells count="15">
    <mergeCell ref="A19:B19"/>
    <mergeCell ref="E19:F20"/>
    <mergeCell ref="G19:I20"/>
    <mergeCell ref="J19:K22"/>
    <mergeCell ref="E21:F22"/>
    <mergeCell ref="G21:I22"/>
    <mergeCell ref="A16:C16"/>
    <mergeCell ref="D16:E16"/>
    <mergeCell ref="A17:C17"/>
    <mergeCell ref="A1:I2"/>
    <mergeCell ref="A4:C5"/>
    <mergeCell ref="G4:I4"/>
    <mergeCell ref="G5:I5"/>
    <mergeCell ref="A7:C7"/>
    <mergeCell ref="D17:E17"/>
  </mergeCells>
  <pageMargins left="0.511811024" right="0.511811024" top="0.78740157499999996" bottom="0.78740157499999996" header="0.31496062000000002" footer="0.31496062000000002"/>
  <pageSetup paperSize="9" scale="7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8EFD-9DBE-4C13-B61B-D9EBA290B0F3}">
  <dimension ref="A1:M28"/>
  <sheetViews>
    <sheetView showGridLines="0" showZeros="0" view="pageBreakPreview" topLeftCell="A3" zoomScale="130" zoomScaleNormal="130" zoomScaleSheetLayoutView="130" workbookViewId="0">
      <selection activeCell="D8" sqref="D8:D14"/>
    </sheetView>
  </sheetViews>
  <sheetFormatPr defaultRowHeight="15" x14ac:dyDescent="0.25"/>
  <cols>
    <col min="1" max="1" width="16.7109375" style="1" bestFit="1" customWidth="1"/>
    <col min="2" max="2" width="6.5703125" style="1" bestFit="1" customWidth="1"/>
    <col min="3" max="3" width="8.85546875" style="1" bestFit="1" customWidth="1"/>
    <col min="4" max="4" width="7" style="1" bestFit="1" customWidth="1"/>
    <col min="5" max="5" width="13.85546875" style="1" bestFit="1" customWidth="1"/>
    <col min="6" max="6" width="9.140625" style="1"/>
    <col min="7" max="7" width="8.140625" style="1" bestFit="1" customWidth="1"/>
    <col min="8" max="8" width="10" style="1" bestFit="1" customWidth="1"/>
    <col min="9" max="9" width="11.5703125" style="1" bestFit="1" customWidth="1"/>
    <col min="10" max="10" width="10.42578125" style="1" bestFit="1" customWidth="1"/>
    <col min="11" max="11" width="9.140625" style="1"/>
    <col min="12" max="12" width="9.85546875" style="1" bestFit="1" customWidth="1"/>
    <col min="13" max="13" width="4" style="1" bestFit="1" customWidth="1"/>
    <col min="14" max="16384" width="9.140625" style="1"/>
  </cols>
  <sheetData>
    <row r="1" spans="1:13" x14ac:dyDescent="0.25">
      <c r="A1" s="590" t="s">
        <v>15</v>
      </c>
      <c r="B1" s="591"/>
      <c r="C1" s="591"/>
      <c r="D1" s="591"/>
      <c r="E1" s="591"/>
      <c r="F1" s="591"/>
      <c r="G1" s="591"/>
      <c r="H1" s="591"/>
      <c r="I1" s="592"/>
      <c r="J1" s="3"/>
      <c r="K1" s="3"/>
      <c r="L1" s="2"/>
      <c r="M1" s="2"/>
    </row>
    <row r="2" spans="1:13" ht="15.75" thickBot="1" x14ac:dyDescent="0.3">
      <c r="A2" s="593"/>
      <c r="B2" s="594"/>
      <c r="C2" s="594"/>
      <c r="D2" s="594"/>
      <c r="E2" s="594"/>
      <c r="F2" s="594"/>
      <c r="G2" s="594"/>
      <c r="H2" s="594"/>
      <c r="I2" s="595"/>
      <c r="J2" s="3"/>
      <c r="K2" s="3"/>
      <c r="L2" s="2"/>
      <c r="M2" s="2"/>
    </row>
    <row r="3" spans="1:13" s="17" customFormat="1" ht="15.75" thickBot="1" x14ac:dyDescent="0.3">
      <c r="A3" s="22"/>
      <c r="B3" s="21"/>
      <c r="C3" s="21"/>
      <c r="D3" s="21"/>
      <c r="E3" s="21"/>
      <c r="F3" s="21"/>
      <c r="G3" s="21"/>
      <c r="H3" s="21"/>
      <c r="I3" s="20"/>
      <c r="J3" s="19"/>
      <c r="K3" s="19"/>
      <c r="L3" s="18"/>
      <c r="M3" s="18"/>
    </row>
    <row r="4" spans="1:13" x14ac:dyDescent="0.25">
      <c r="A4" s="596" t="s">
        <v>23</v>
      </c>
      <c r="B4" s="597"/>
      <c r="C4" s="597"/>
      <c r="D4" s="67" t="s">
        <v>12</v>
      </c>
      <c r="E4" s="68" t="s">
        <v>11</v>
      </c>
      <c r="F4" s="16"/>
      <c r="G4" s="600" t="s">
        <v>22</v>
      </c>
      <c r="H4" s="601"/>
      <c r="I4" s="602"/>
      <c r="J4" s="3"/>
      <c r="K4" s="2"/>
      <c r="L4" s="2"/>
      <c r="M4" s="2"/>
    </row>
    <row r="5" spans="1:13" ht="15.75" thickBot="1" x14ac:dyDescent="0.3">
      <c r="A5" s="598"/>
      <c r="B5" s="599"/>
      <c r="C5" s="599"/>
      <c r="D5" s="69">
        <v>1</v>
      </c>
      <c r="E5" s="70">
        <f>C19/C20</f>
        <v>7.6192307692307679E-3</v>
      </c>
      <c r="F5" s="13"/>
      <c r="G5" s="603">
        <v>1674</v>
      </c>
      <c r="H5" s="604"/>
      <c r="I5" s="605"/>
      <c r="J5" s="27"/>
      <c r="K5" s="3"/>
      <c r="L5" s="2"/>
      <c r="M5" s="2">
        <v>4.7</v>
      </c>
    </row>
    <row r="6" spans="1:13" ht="15.75" thickBot="1" x14ac:dyDescent="0.3">
      <c r="A6" s="66"/>
      <c r="B6" s="29"/>
      <c r="C6" s="29"/>
      <c r="D6" s="75"/>
      <c r="E6" s="76"/>
      <c r="F6" s="13"/>
      <c r="G6" s="2"/>
      <c r="H6" s="2"/>
      <c r="I6" s="14"/>
      <c r="J6" s="3"/>
      <c r="K6" s="3"/>
      <c r="L6" s="2"/>
      <c r="M6" s="2"/>
    </row>
    <row r="7" spans="1:13" ht="15.75" thickBot="1" x14ac:dyDescent="0.3">
      <c r="A7" s="606" t="s">
        <v>19</v>
      </c>
      <c r="B7" s="607"/>
      <c r="C7" s="608"/>
      <c r="D7" s="77"/>
      <c r="E7" s="78"/>
      <c r="F7" s="13"/>
      <c r="G7" s="2"/>
      <c r="H7" s="2"/>
      <c r="I7" s="14"/>
      <c r="J7" s="3"/>
      <c r="K7" s="3"/>
      <c r="L7" s="2"/>
      <c r="M7" s="2"/>
    </row>
    <row r="8" spans="1:13" s="24" customFormat="1" x14ac:dyDescent="0.25">
      <c r="A8" s="42" t="s">
        <v>10</v>
      </c>
      <c r="B8" s="87">
        <v>4</v>
      </c>
      <c r="C8" s="44">
        <f>B8*1/50</f>
        <v>0.08</v>
      </c>
      <c r="D8" s="84">
        <f t="shared" ref="D8:D14" si="0">C8/$C$19</f>
        <v>0.40383644623927317</v>
      </c>
      <c r="E8" s="72">
        <f>$E$5*D8</f>
        <v>3.0769230769230769E-3</v>
      </c>
      <c r="F8" s="45"/>
      <c r="G8" s="46">
        <f>(G5*E8)+10%</f>
        <v>5.2507692307692304</v>
      </c>
      <c r="H8" s="47">
        <v>130</v>
      </c>
      <c r="I8" s="48">
        <f>G8*H8</f>
        <v>682.59999999999991</v>
      </c>
      <c r="J8" s="49"/>
      <c r="K8" s="50"/>
      <c r="L8" s="51"/>
      <c r="M8" s="51"/>
    </row>
    <row r="9" spans="1:13" x14ac:dyDescent="0.25">
      <c r="A9" s="31" t="s">
        <v>9</v>
      </c>
      <c r="B9" s="88">
        <v>5</v>
      </c>
      <c r="C9" s="33">
        <f>B9/1/50</f>
        <v>0.1</v>
      </c>
      <c r="D9" s="85">
        <f t="shared" si="0"/>
        <v>0.50479555779909147</v>
      </c>
      <c r="E9" s="74">
        <f>$E$5*D9</f>
        <v>3.8461538461538464E-3</v>
      </c>
      <c r="F9" s="13"/>
      <c r="G9" s="37">
        <f>(E9*$G$5)+10%</f>
        <v>6.5384615384615383</v>
      </c>
      <c r="H9" s="11">
        <v>175</v>
      </c>
      <c r="I9" s="9">
        <f t="shared" ref="I9:I14" si="1">G9*H9</f>
        <v>1144.2307692307693</v>
      </c>
      <c r="J9" s="28"/>
      <c r="K9" s="3"/>
      <c r="L9" s="2"/>
      <c r="M9" s="2"/>
    </row>
    <row r="10" spans="1:13" s="24" customFormat="1" x14ac:dyDescent="0.25">
      <c r="A10" s="42" t="s">
        <v>8</v>
      </c>
      <c r="B10" s="87">
        <v>0</v>
      </c>
      <c r="C10" s="52"/>
      <c r="D10" s="84">
        <f t="shared" si="0"/>
        <v>0</v>
      </c>
      <c r="E10" s="72">
        <f t="shared" ref="E10:E14" si="2">$E$5*D10</f>
        <v>0</v>
      </c>
      <c r="F10" s="45"/>
      <c r="G10" s="53">
        <f>E10*$G$5</f>
        <v>0</v>
      </c>
      <c r="H10" s="54"/>
      <c r="I10" s="55">
        <f t="shared" si="1"/>
        <v>0</v>
      </c>
      <c r="J10" s="50"/>
      <c r="K10" s="50"/>
      <c r="L10" s="51"/>
      <c r="M10" s="51"/>
    </row>
    <row r="11" spans="1:13" x14ac:dyDescent="0.25">
      <c r="A11" s="31" t="s">
        <v>7</v>
      </c>
      <c r="B11" s="88">
        <v>0</v>
      </c>
      <c r="C11" s="34"/>
      <c r="D11" s="85">
        <f t="shared" si="0"/>
        <v>0</v>
      </c>
      <c r="E11" s="74">
        <f t="shared" si="2"/>
        <v>0</v>
      </c>
      <c r="F11" s="45"/>
      <c r="G11" s="37">
        <f>E11*$G$5</f>
        <v>0</v>
      </c>
      <c r="H11" s="11">
        <v>175</v>
      </c>
      <c r="I11" s="9">
        <f t="shared" si="1"/>
        <v>0</v>
      </c>
      <c r="J11" s="3"/>
      <c r="K11" s="3"/>
      <c r="L11" s="2"/>
      <c r="M11" s="2"/>
    </row>
    <row r="12" spans="1:13" s="24" customFormat="1" x14ac:dyDescent="0.25">
      <c r="A12" s="42" t="s">
        <v>6</v>
      </c>
      <c r="B12" s="87">
        <v>0</v>
      </c>
      <c r="C12" s="52"/>
      <c r="D12" s="84">
        <f t="shared" si="0"/>
        <v>0</v>
      </c>
      <c r="E12" s="72">
        <f t="shared" si="2"/>
        <v>0</v>
      </c>
      <c r="F12" s="45"/>
      <c r="G12" s="53">
        <f>E12*$G$5</f>
        <v>0</v>
      </c>
      <c r="H12" s="54"/>
      <c r="I12" s="55">
        <f t="shared" si="1"/>
        <v>0</v>
      </c>
      <c r="J12" s="50"/>
      <c r="K12" s="50"/>
      <c r="L12" s="51"/>
      <c r="M12" s="51"/>
    </row>
    <row r="13" spans="1:13" x14ac:dyDescent="0.25">
      <c r="A13" s="35" t="s">
        <v>5</v>
      </c>
      <c r="B13" s="89">
        <v>0.1</v>
      </c>
      <c r="C13" s="33">
        <f>B13*0.001/1</f>
        <v>1E-4</v>
      </c>
      <c r="D13" s="85">
        <f t="shared" si="0"/>
        <v>5.0479555779909147E-4</v>
      </c>
      <c r="E13" s="74">
        <f>$E$5*D13</f>
        <v>3.8461538461538459E-6</v>
      </c>
      <c r="F13" s="45"/>
      <c r="G13" s="38">
        <f>(B13/C20*G5)+10%</f>
        <v>6.5384615384615383</v>
      </c>
      <c r="H13" s="11">
        <f>462</f>
        <v>462</v>
      </c>
      <c r="I13" s="9">
        <f>H13/53*G13</f>
        <v>56.995645863570388</v>
      </c>
      <c r="J13" s="3"/>
      <c r="K13" s="3"/>
      <c r="L13" s="2"/>
      <c r="M13" s="2"/>
    </row>
    <row r="14" spans="1:13" s="24" customFormat="1" ht="15.75" thickBot="1" x14ac:dyDescent="0.3">
      <c r="A14" s="56" t="s">
        <v>4</v>
      </c>
      <c r="B14" s="90">
        <v>0.5</v>
      </c>
      <c r="C14" s="58">
        <f>B14*0.036/1</f>
        <v>1.7999999999999999E-2</v>
      </c>
      <c r="D14" s="84">
        <f t="shared" si="0"/>
        <v>9.0863200403836455E-2</v>
      </c>
      <c r="E14" s="72">
        <f t="shared" si="2"/>
        <v>6.9230769230769226E-4</v>
      </c>
      <c r="F14" s="45"/>
      <c r="G14" s="59">
        <f>E14*$G$5/0.036</f>
        <v>32.192307692307693</v>
      </c>
      <c r="H14" s="54">
        <v>35</v>
      </c>
      <c r="I14" s="55">
        <f t="shared" si="1"/>
        <v>1126.7307692307693</v>
      </c>
      <c r="J14" s="50"/>
      <c r="K14" s="50"/>
      <c r="L14" s="60"/>
      <c r="M14" s="51"/>
    </row>
    <row r="15" spans="1:13" s="24" customFormat="1" ht="15.75" thickBot="1" x14ac:dyDescent="0.3">
      <c r="A15" s="79"/>
      <c r="B15" s="80"/>
      <c r="C15" s="81"/>
      <c r="D15" s="86"/>
      <c r="E15" s="83"/>
      <c r="F15" s="45"/>
      <c r="G15" s="59"/>
      <c r="H15" s="54"/>
      <c r="I15" s="55"/>
      <c r="J15" s="50"/>
      <c r="K15" s="50"/>
      <c r="L15" s="60"/>
      <c r="M15" s="51"/>
    </row>
    <row r="16" spans="1:13" ht="15.75" thickBot="1" x14ac:dyDescent="0.3">
      <c r="A16" s="582" t="s">
        <v>20</v>
      </c>
      <c r="B16" s="583"/>
      <c r="C16" s="584"/>
      <c r="D16" s="585">
        <v>11</v>
      </c>
      <c r="E16" s="586"/>
      <c r="F16" s="4"/>
      <c r="G16" s="61">
        <f>D16</f>
        <v>11</v>
      </c>
      <c r="H16" s="11">
        <v>66.67</v>
      </c>
      <c r="I16" s="9">
        <f>G16*H16</f>
        <v>733.37</v>
      </c>
      <c r="J16" s="27"/>
      <c r="K16" s="3"/>
      <c r="L16" s="2"/>
      <c r="M16" s="2"/>
    </row>
    <row r="17" spans="1:13" ht="15.75" thickBot="1" x14ac:dyDescent="0.3">
      <c r="A17" s="587" t="s">
        <v>21</v>
      </c>
      <c r="B17" s="588"/>
      <c r="C17" s="589"/>
      <c r="D17" s="635">
        <v>558</v>
      </c>
      <c r="E17" s="636"/>
      <c r="F17" s="4"/>
      <c r="G17" s="39" t="s">
        <v>2</v>
      </c>
      <c r="H17" s="40">
        <v>0.08</v>
      </c>
      <c r="I17" s="41">
        <f>G21*H17*G5</f>
        <v>575.85599999999999</v>
      </c>
      <c r="J17" s="3"/>
      <c r="K17" s="3"/>
      <c r="L17" s="2"/>
      <c r="M17" s="2"/>
    </row>
    <row r="18" spans="1:13" ht="15.75" thickBot="1" x14ac:dyDescent="0.3">
      <c r="A18" s="63"/>
      <c r="D18" s="8"/>
      <c r="E18" s="7"/>
      <c r="F18" s="4"/>
      <c r="G18" s="25"/>
      <c r="H18" s="6"/>
      <c r="I18" s="9"/>
      <c r="J18" s="3"/>
      <c r="K18" s="3"/>
      <c r="L18" s="2"/>
      <c r="M18" s="2"/>
    </row>
    <row r="19" spans="1:13" x14ac:dyDescent="0.25">
      <c r="A19" s="611" t="s">
        <v>17</v>
      </c>
      <c r="B19" s="612"/>
      <c r="C19" s="26">
        <f>SUM(C8:C14)</f>
        <v>0.19809999999999997</v>
      </c>
      <c r="D19" s="8"/>
      <c r="E19" s="600" t="s">
        <v>1</v>
      </c>
      <c r="F19" s="602"/>
      <c r="G19" s="615">
        <f>SUM(I8:I17)/G5</f>
        <v>2.5805156417712718</v>
      </c>
      <c r="H19" s="616"/>
      <c r="I19" s="617"/>
      <c r="J19" s="621"/>
      <c r="K19" s="622"/>
      <c r="L19" s="633"/>
      <c r="M19" s="634"/>
    </row>
    <row r="20" spans="1:13" ht="15.75" thickBot="1" x14ac:dyDescent="0.3">
      <c r="A20" s="64" t="s">
        <v>18</v>
      </c>
      <c r="B20" s="15"/>
      <c r="C20" s="392">
        <v>26</v>
      </c>
      <c r="D20" s="8"/>
      <c r="E20" s="613"/>
      <c r="F20" s="614"/>
      <c r="G20" s="618"/>
      <c r="H20" s="619"/>
      <c r="I20" s="620"/>
      <c r="J20" s="623"/>
      <c r="K20" s="624"/>
      <c r="M20" s="2"/>
    </row>
    <row r="21" spans="1:13" x14ac:dyDescent="0.25">
      <c r="A21" s="5"/>
      <c r="B21" s="2"/>
      <c r="C21" s="2"/>
      <c r="D21" s="8"/>
      <c r="E21" s="600" t="s">
        <v>0</v>
      </c>
      <c r="F21" s="602"/>
      <c r="G21" s="627">
        <v>4.3</v>
      </c>
      <c r="H21" s="628"/>
      <c r="I21" s="629"/>
      <c r="J21" s="623"/>
      <c r="K21" s="624"/>
      <c r="M21" s="2"/>
    </row>
    <row r="22" spans="1:13" ht="15.75" thickBot="1" x14ac:dyDescent="0.3">
      <c r="A22" s="65"/>
      <c r="B22" s="62"/>
      <c r="C22" s="62"/>
      <c r="D22" s="62"/>
      <c r="E22" s="613"/>
      <c r="F22" s="614"/>
      <c r="G22" s="630"/>
      <c r="H22" s="631"/>
      <c r="I22" s="632"/>
      <c r="J22" s="625"/>
      <c r="K22" s="626"/>
    </row>
    <row r="23" spans="1:13" x14ac:dyDescent="0.25">
      <c r="G23" s="255"/>
      <c r="J23" s="391"/>
      <c r="K23" s="393"/>
      <c r="L23" s="255"/>
    </row>
    <row r="24" spans="1:13" x14ac:dyDescent="0.25">
      <c r="H24" s="391"/>
      <c r="J24" s="255"/>
    </row>
    <row r="25" spans="1:13" x14ac:dyDescent="0.25">
      <c r="H25" s="391"/>
    </row>
    <row r="27" spans="1:13" x14ac:dyDescent="0.25">
      <c r="K27" s="255"/>
    </row>
    <row r="28" spans="1:13" x14ac:dyDescent="0.25">
      <c r="K28" s="255"/>
      <c r="L28" s="255"/>
    </row>
  </sheetData>
  <mergeCells count="16">
    <mergeCell ref="L19:M19"/>
    <mergeCell ref="J19:K22"/>
    <mergeCell ref="G21:I22"/>
    <mergeCell ref="E21:F22"/>
    <mergeCell ref="A1:I2"/>
    <mergeCell ref="G5:I5"/>
    <mergeCell ref="G19:I20"/>
    <mergeCell ref="A19:B19"/>
    <mergeCell ref="A4:C5"/>
    <mergeCell ref="A7:C7"/>
    <mergeCell ref="A16:C16"/>
    <mergeCell ref="E19:F20"/>
    <mergeCell ref="A17:C17"/>
    <mergeCell ref="D16:E16"/>
    <mergeCell ref="D17:E17"/>
    <mergeCell ref="G4:I4"/>
  </mergeCells>
  <pageMargins left="0.511811024" right="0.511811024" top="0.78740157499999996" bottom="0.78740157499999996" header="0.31496062000000002" footer="0.31496062000000002"/>
  <pageSetup paperSize="9" scale="81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03EA-40C0-4FF0-B654-2F150D910BF7}">
  <dimension ref="A1:M28"/>
  <sheetViews>
    <sheetView showGridLines="0" showZeros="0" view="pageBreakPreview" zoomScale="130" zoomScaleNormal="100" zoomScaleSheetLayoutView="130" workbookViewId="0">
      <selection activeCell="G13" sqref="G13"/>
    </sheetView>
  </sheetViews>
  <sheetFormatPr defaultRowHeight="15" x14ac:dyDescent="0.25"/>
  <cols>
    <col min="1" max="1" width="16.7109375" style="1" bestFit="1" customWidth="1"/>
    <col min="2" max="2" width="6.5703125" style="1" bestFit="1" customWidth="1"/>
    <col min="3" max="3" width="8.85546875" style="1" bestFit="1" customWidth="1"/>
    <col min="4" max="4" width="9.85546875" style="1" bestFit="1" customWidth="1"/>
    <col min="5" max="5" width="13.85546875" style="1" bestFit="1" customWidth="1"/>
    <col min="6" max="6" width="9.85546875" style="1" bestFit="1" customWidth="1"/>
    <col min="7" max="7" width="8.85546875" style="1" bestFit="1" customWidth="1"/>
    <col min="8" max="8" width="10" style="1" bestFit="1" customWidth="1"/>
    <col min="9" max="9" width="11.5703125" style="1" bestFit="1" customWidth="1"/>
    <col min="10" max="10" width="11.28515625" style="1" bestFit="1" customWidth="1"/>
    <col min="11" max="11" width="10" style="1" bestFit="1" customWidth="1"/>
    <col min="12" max="12" width="9.85546875" style="1" bestFit="1" customWidth="1"/>
    <col min="13" max="13" width="4" style="1" bestFit="1" customWidth="1"/>
    <col min="14" max="16384" width="9.140625" style="1"/>
  </cols>
  <sheetData>
    <row r="1" spans="1:13" x14ac:dyDescent="0.25">
      <c r="A1" s="590" t="s">
        <v>83</v>
      </c>
      <c r="B1" s="591"/>
      <c r="C1" s="591"/>
      <c r="D1" s="591"/>
      <c r="E1" s="591"/>
      <c r="F1" s="591"/>
      <c r="G1" s="591"/>
      <c r="H1" s="591"/>
      <c r="I1" s="592"/>
      <c r="J1" s="3"/>
      <c r="K1" s="3"/>
      <c r="L1" s="2"/>
      <c r="M1" s="2"/>
    </row>
    <row r="2" spans="1:13" ht="15.75" thickBot="1" x14ac:dyDescent="0.3">
      <c r="A2" s="593"/>
      <c r="B2" s="594"/>
      <c r="C2" s="594"/>
      <c r="D2" s="594"/>
      <c r="E2" s="594"/>
      <c r="F2" s="594"/>
      <c r="G2" s="594"/>
      <c r="H2" s="594"/>
      <c r="I2" s="595"/>
      <c r="J2" s="3"/>
      <c r="K2" s="3"/>
      <c r="L2" s="2"/>
      <c r="M2" s="2"/>
    </row>
    <row r="3" spans="1:13" s="17" customFormat="1" ht="15.75" thickBot="1" x14ac:dyDescent="0.3">
      <c r="A3" s="22"/>
      <c r="B3" s="21"/>
      <c r="C3" s="21"/>
      <c r="D3" s="21"/>
      <c r="E3" s="21"/>
      <c r="F3" s="21"/>
      <c r="G3" s="21"/>
      <c r="H3" s="21"/>
      <c r="I3" s="20"/>
      <c r="J3" s="19"/>
      <c r="K3" s="19"/>
      <c r="L3" s="18"/>
      <c r="M3" s="18"/>
    </row>
    <row r="4" spans="1:13" x14ac:dyDescent="0.25">
      <c r="A4" s="596" t="s">
        <v>23</v>
      </c>
      <c r="B4" s="597"/>
      <c r="C4" s="597"/>
      <c r="D4" s="67" t="s">
        <v>12</v>
      </c>
      <c r="E4" s="68" t="s">
        <v>11</v>
      </c>
      <c r="F4" s="16"/>
      <c r="G4" s="600" t="s">
        <v>22</v>
      </c>
      <c r="H4" s="601"/>
      <c r="I4" s="602"/>
      <c r="J4" s="3"/>
      <c r="K4" s="2"/>
      <c r="L4" s="2"/>
      <c r="M4" s="2"/>
    </row>
    <row r="5" spans="1:13" ht="15.75" thickBot="1" x14ac:dyDescent="0.3">
      <c r="A5" s="598"/>
      <c r="B5" s="599"/>
      <c r="C5" s="599"/>
      <c r="D5" s="69">
        <v>1</v>
      </c>
      <c r="E5" s="420">
        <f>(D8+D9+D10+D11+D12+D13+D14)/G5</f>
        <v>5.9465776293823039E-3</v>
      </c>
      <c r="F5" s="13"/>
      <c r="G5" s="603">
        <v>1797</v>
      </c>
      <c r="H5" s="604"/>
      <c r="I5" s="605"/>
      <c r="J5" s="27"/>
      <c r="K5" s="3"/>
      <c r="L5" s="2"/>
      <c r="M5" s="2"/>
    </row>
    <row r="6" spans="1:13" ht="15.75" thickBot="1" x14ac:dyDescent="0.3">
      <c r="A6" s="66"/>
      <c r="B6" s="29"/>
      <c r="C6" s="29"/>
      <c r="D6" s="75"/>
      <c r="E6" s="76"/>
      <c r="F6" s="13"/>
      <c r="G6" s="2"/>
      <c r="H6" s="2"/>
      <c r="I6" s="14"/>
      <c r="J6" s="3"/>
      <c r="K6" s="3"/>
      <c r="L6" s="2"/>
      <c r="M6" s="2"/>
    </row>
    <row r="7" spans="1:13" ht="15.75" thickBot="1" x14ac:dyDescent="0.3">
      <c r="A7" s="396" t="s">
        <v>19</v>
      </c>
      <c r="B7" s="638">
        <v>60</v>
      </c>
      <c r="C7" s="639"/>
      <c r="D7" s="75"/>
      <c r="E7" s="76"/>
      <c r="F7" s="13"/>
      <c r="G7" s="2"/>
      <c r="H7" s="2"/>
      <c r="I7" s="14"/>
      <c r="J7" s="3"/>
      <c r="K7" s="3"/>
      <c r="L7" s="2"/>
      <c r="M7" s="2"/>
    </row>
    <row r="8" spans="1:13" s="24" customFormat="1" x14ac:dyDescent="0.25">
      <c r="A8" s="42" t="s">
        <v>10</v>
      </c>
      <c r="B8" s="87">
        <v>4</v>
      </c>
      <c r="C8" s="44">
        <f>0.018*B8</f>
        <v>7.1999999999999995E-2</v>
      </c>
      <c r="D8" s="414">
        <f>C8*$B$7</f>
        <v>4.3199999999999994</v>
      </c>
      <c r="E8" s="76"/>
      <c r="G8" s="407">
        <f t="shared" ref="G8:G14" si="0">$B$7*B8</f>
        <v>240</v>
      </c>
      <c r="H8" s="400">
        <v>130</v>
      </c>
      <c r="I8" s="401">
        <f>H8/55.55*G8</f>
        <v>561.65616561656168</v>
      </c>
      <c r="K8" s="397"/>
      <c r="L8" s="51"/>
      <c r="M8" s="51"/>
    </row>
    <row r="9" spans="1:13" x14ac:dyDescent="0.25">
      <c r="A9" s="31" t="s">
        <v>9</v>
      </c>
      <c r="B9" s="88">
        <v>5</v>
      </c>
      <c r="C9" s="33">
        <f>0.018*B9</f>
        <v>0.09</v>
      </c>
      <c r="D9" s="415">
        <f>C9*$B$7</f>
        <v>5.3999999999999995</v>
      </c>
      <c r="E9" s="76"/>
      <c r="G9" s="408">
        <f t="shared" si="0"/>
        <v>300</v>
      </c>
      <c r="H9" s="399">
        <v>175</v>
      </c>
      <c r="I9" s="402">
        <f>H9/55.55*G9</f>
        <v>945.09450945094511</v>
      </c>
      <c r="K9" s="3"/>
      <c r="L9" s="2"/>
      <c r="M9" s="2"/>
    </row>
    <row r="10" spans="1:13" s="24" customFormat="1" x14ac:dyDescent="0.25">
      <c r="A10" s="42" t="s">
        <v>8</v>
      </c>
      <c r="B10" s="87">
        <v>0</v>
      </c>
      <c r="C10" s="52"/>
      <c r="D10" s="415">
        <f>C10*$B$7</f>
        <v>0</v>
      </c>
      <c r="E10" s="76"/>
      <c r="G10" s="408">
        <f t="shared" si="0"/>
        <v>0</v>
      </c>
      <c r="H10" s="398"/>
      <c r="I10" s="402">
        <f t="shared" ref="I10:I12" si="1">H10/55.55*G10</f>
        <v>0</v>
      </c>
      <c r="K10" s="50"/>
      <c r="L10" s="51"/>
      <c r="M10" s="51"/>
    </row>
    <row r="11" spans="1:13" x14ac:dyDescent="0.25">
      <c r="A11" s="31" t="s">
        <v>7</v>
      </c>
      <c r="B11" s="88">
        <v>0</v>
      </c>
      <c r="C11" s="34"/>
      <c r="D11" s="415">
        <f>C11*$B$7</f>
        <v>0</v>
      </c>
      <c r="E11" s="76"/>
      <c r="G11" s="408">
        <f t="shared" si="0"/>
        <v>0</v>
      </c>
      <c r="H11" s="399"/>
      <c r="I11" s="402">
        <f t="shared" si="1"/>
        <v>0</v>
      </c>
      <c r="K11" s="3"/>
      <c r="L11" s="2"/>
      <c r="M11" s="2"/>
    </row>
    <row r="12" spans="1:13" s="24" customFormat="1" x14ac:dyDescent="0.25">
      <c r="A12" s="42" t="s">
        <v>6</v>
      </c>
      <c r="B12" s="87">
        <v>0</v>
      </c>
      <c r="C12" s="52"/>
      <c r="D12" s="415">
        <f>C12*$B$7</f>
        <v>0</v>
      </c>
      <c r="E12" s="76"/>
      <c r="G12" s="408">
        <f t="shared" si="0"/>
        <v>0</v>
      </c>
      <c r="H12" s="398"/>
      <c r="I12" s="402">
        <f t="shared" si="1"/>
        <v>0</v>
      </c>
      <c r="K12" s="50"/>
      <c r="L12" s="51"/>
      <c r="M12" s="51"/>
    </row>
    <row r="13" spans="1:13" x14ac:dyDescent="0.25">
      <c r="A13" s="35" t="s">
        <v>5</v>
      </c>
      <c r="B13" s="89">
        <v>0.1</v>
      </c>
      <c r="C13" s="33">
        <f>B13*0.001/1</f>
        <v>1E-4</v>
      </c>
      <c r="D13" s="416">
        <f>C13*B7</f>
        <v>6.0000000000000001E-3</v>
      </c>
      <c r="E13" s="76"/>
      <c r="G13" s="409">
        <f t="shared" si="0"/>
        <v>6</v>
      </c>
      <c r="H13" s="399">
        <f>462</f>
        <v>462</v>
      </c>
      <c r="I13" s="402">
        <f>H13/50*G13</f>
        <v>55.44</v>
      </c>
      <c r="K13" s="3"/>
      <c r="L13" s="2"/>
      <c r="M13" s="2"/>
    </row>
    <row r="14" spans="1:13" s="24" customFormat="1" ht="15.75" thickBot="1" x14ac:dyDescent="0.3">
      <c r="A14" s="56" t="s">
        <v>4</v>
      </c>
      <c r="B14" s="90">
        <v>0.5</v>
      </c>
      <c r="C14" s="58">
        <f>B14*0.032</f>
        <v>1.6E-2</v>
      </c>
      <c r="D14" s="416">
        <f>C14*B7</f>
        <v>0.96</v>
      </c>
      <c r="E14" s="76"/>
      <c r="G14" s="410">
        <f t="shared" si="0"/>
        <v>30</v>
      </c>
      <c r="H14" s="398">
        <v>33</v>
      </c>
      <c r="I14" s="402">
        <f>H14*G14</f>
        <v>990</v>
      </c>
      <c r="K14" s="50"/>
      <c r="L14" s="60"/>
      <c r="M14" s="51"/>
    </row>
    <row r="15" spans="1:13" s="24" customFormat="1" ht="15.75" thickBot="1" x14ac:dyDescent="0.3">
      <c r="A15" s="79"/>
      <c r="B15" s="80"/>
      <c r="C15" s="81"/>
      <c r="D15" s="417"/>
      <c r="G15" s="411"/>
      <c r="H15" s="398"/>
      <c r="I15" s="403"/>
      <c r="J15" s="50"/>
      <c r="K15" s="50"/>
      <c r="L15" s="60"/>
      <c r="M15" s="51"/>
    </row>
    <row r="16" spans="1:13" x14ac:dyDescent="0.25">
      <c r="A16" s="642" t="s">
        <v>20</v>
      </c>
      <c r="B16" s="643"/>
      <c r="C16" s="644"/>
      <c r="D16" s="648">
        <v>10</v>
      </c>
      <c r="E16" s="649"/>
      <c r="F16" s="4"/>
      <c r="G16" s="412">
        <f>D16</f>
        <v>10</v>
      </c>
      <c r="H16" s="399">
        <f>2000/30</f>
        <v>66.666666666666671</v>
      </c>
      <c r="I16" s="404">
        <f>G16*H16</f>
        <v>666.66666666666674</v>
      </c>
      <c r="J16" s="27"/>
      <c r="K16" s="3"/>
      <c r="L16" s="2"/>
      <c r="M16" s="2"/>
    </row>
    <row r="17" spans="1:13" ht="15.75" thickBot="1" x14ac:dyDescent="0.3">
      <c r="A17" s="645"/>
      <c r="B17" s="646"/>
      <c r="C17" s="647"/>
      <c r="D17" s="650"/>
      <c r="E17" s="651"/>
      <c r="F17" s="4"/>
      <c r="G17" s="413" t="s">
        <v>2</v>
      </c>
      <c r="H17" s="405">
        <v>0.08</v>
      </c>
      <c r="I17" s="406">
        <f>G21*H17*G5</f>
        <v>618.16800000000001</v>
      </c>
      <c r="J17" s="394"/>
      <c r="K17" s="3"/>
      <c r="L17" s="2"/>
      <c r="M17" s="2"/>
    </row>
    <row r="18" spans="1:13" ht="15.75" thickBot="1" x14ac:dyDescent="0.3">
      <c r="A18" s="63"/>
      <c r="D18" s="8"/>
      <c r="E18" s="7"/>
      <c r="F18" s="4"/>
      <c r="G18" s="395"/>
      <c r="H18" s="6"/>
      <c r="I18" s="9"/>
      <c r="J18" s="226"/>
      <c r="K18" s="3"/>
      <c r="L18" s="2"/>
      <c r="M18" s="2"/>
    </row>
    <row r="19" spans="1:13" x14ac:dyDescent="0.25">
      <c r="A19" s="652" t="s">
        <v>17</v>
      </c>
      <c r="B19" s="653"/>
      <c r="C19" s="418">
        <f>SUM(C8:C14)</f>
        <v>0.17809999999999998</v>
      </c>
      <c r="D19" s="8"/>
      <c r="E19" s="600" t="s">
        <v>1</v>
      </c>
      <c r="F19" s="602"/>
      <c r="G19" s="615">
        <f>SUM(I8:I17)/G5</f>
        <v>2.1352394778709929</v>
      </c>
      <c r="H19" s="616"/>
      <c r="I19" s="617"/>
      <c r="J19" s="621">
        <f>(G21*G5)-(G19*G5)</f>
        <v>3890.0746582658253</v>
      </c>
      <c r="K19" s="622"/>
      <c r="L19" s="633"/>
      <c r="M19" s="634"/>
    </row>
    <row r="20" spans="1:13" ht="15.75" thickBot="1" x14ac:dyDescent="0.3">
      <c r="A20" s="640" t="s">
        <v>18</v>
      </c>
      <c r="B20" s="641"/>
      <c r="C20" s="419">
        <f>C19/E5</f>
        <v>29.949999999999996</v>
      </c>
      <c r="D20" s="8"/>
      <c r="E20" s="613"/>
      <c r="F20" s="614"/>
      <c r="G20" s="618"/>
      <c r="H20" s="619"/>
      <c r="I20" s="620"/>
      <c r="J20" s="623"/>
      <c r="K20" s="624"/>
      <c r="M20" s="2"/>
    </row>
    <row r="21" spans="1:13" x14ac:dyDescent="0.25">
      <c r="A21" s="5"/>
      <c r="B21" s="2"/>
      <c r="C21" s="2"/>
      <c r="D21" s="8"/>
      <c r="E21" s="600" t="s">
        <v>0</v>
      </c>
      <c r="F21" s="602"/>
      <c r="G21" s="627">
        <v>4.3</v>
      </c>
      <c r="H21" s="628"/>
      <c r="I21" s="629"/>
      <c r="J21" s="623"/>
      <c r="K21" s="624"/>
      <c r="M21" s="2"/>
    </row>
    <row r="22" spans="1:13" ht="15.75" thickBot="1" x14ac:dyDescent="0.3">
      <c r="A22" s="65"/>
      <c r="B22" s="62"/>
      <c r="C22" s="62"/>
      <c r="D22" s="62"/>
      <c r="E22" s="613"/>
      <c r="F22" s="614"/>
      <c r="G22" s="630"/>
      <c r="H22" s="631"/>
      <c r="I22" s="632"/>
      <c r="J22" s="625"/>
      <c r="K22" s="626"/>
    </row>
    <row r="23" spans="1:13" x14ac:dyDescent="0.25">
      <c r="G23" s="637">
        <f>G21-G19</f>
        <v>2.1647605221290069</v>
      </c>
      <c r="H23" s="637"/>
      <c r="I23" s="637"/>
      <c r="J23" s="391"/>
      <c r="K23" s="393"/>
      <c r="L23" s="255"/>
    </row>
    <row r="24" spans="1:13" x14ac:dyDescent="0.25">
      <c r="H24" s="393"/>
      <c r="I24" s="255"/>
      <c r="J24" s="255"/>
    </row>
    <row r="25" spans="1:13" x14ac:dyDescent="0.25">
      <c r="H25" s="391"/>
    </row>
    <row r="27" spans="1:13" x14ac:dyDescent="0.25">
      <c r="K27" s="255"/>
    </row>
    <row r="28" spans="1:13" x14ac:dyDescent="0.25">
      <c r="K28" s="255"/>
      <c r="L28" s="255"/>
    </row>
  </sheetData>
  <mergeCells count="16">
    <mergeCell ref="G23:I23"/>
    <mergeCell ref="B7:C7"/>
    <mergeCell ref="A20:B20"/>
    <mergeCell ref="A16:C17"/>
    <mergeCell ref="D16:E17"/>
    <mergeCell ref="A19:B19"/>
    <mergeCell ref="E19:F20"/>
    <mergeCell ref="G19:I20"/>
    <mergeCell ref="A1:I2"/>
    <mergeCell ref="A4:C5"/>
    <mergeCell ref="G4:I4"/>
    <mergeCell ref="G5:I5"/>
    <mergeCell ref="L19:M19"/>
    <mergeCell ref="J19:K22"/>
    <mergeCell ref="E21:F22"/>
    <mergeCell ref="G21:I22"/>
  </mergeCells>
  <pageMargins left="0.511811024" right="0.511811024" top="0.78740157499999996" bottom="0.78740157499999996" header="0.31496062000000002" footer="0.31496062000000002"/>
  <pageSetup paperSize="9" scale="78" orientation="portrait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8FAD-EC5E-4A6A-83A7-C39116D4555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EA07-C478-4DC6-9E7B-12CFA62B0BD9}">
  <dimension ref="A1:M22"/>
  <sheetViews>
    <sheetView workbookViewId="0">
      <selection activeCell="L10" sqref="L10:M14"/>
    </sheetView>
  </sheetViews>
  <sheetFormatPr defaultRowHeight="15" x14ac:dyDescent="0.25"/>
  <cols>
    <col min="1" max="1" width="20.5703125" style="1" bestFit="1" customWidth="1"/>
    <col min="2" max="2" width="7" style="1" bestFit="1" customWidth="1"/>
    <col min="3" max="3" width="9.85546875" style="1" bestFit="1" customWidth="1"/>
    <col min="4" max="4" width="7.28515625" style="1" bestFit="1" customWidth="1"/>
    <col min="5" max="5" width="10.85546875" style="1" bestFit="1" customWidth="1"/>
    <col min="6" max="6" width="9.140625" style="1"/>
    <col min="7" max="7" width="9.7109375" style="1" bestFit="1" customWidth="1"/>
    <col min="8" max="8" width="10.5703125" style="1" bestFit="1" customWidth="1"/>
    <col min="9" max="9" width="12.28515625" style="1" bestFit="1" customWidth="1"/>
    <col min="10" max="10" width="9.42578125" style="1" bestFit="1" customWidth="1"/>
    <col min="11" max="11" width="9.140625" style="1"/>
    <col min="12" max="12" width="9.85546875" style="1" bestFit="1" customWidth="1"/>
    <col min="13" max="16384" width="9.140625" style="1"/>
  </cols>
  <sheetData>
    <row r="1" spans="1:13" x14ac:dyDescent="0.25">
      <c r="A1" s="590" t="s">
        <v>24</v>
      </c>
      <c r="B1" s="591"/>
      <c r="C1" s="591"/>
      <c r="D1" s="591"/>
      <c r="E1" s="591"/>
      <c r="F1" s="591"/>
      <c r="G1" s="591"/>
      <c r="H1" s="591"/>
      <c r="I1" s="592"/>
      <c r="J1" s="3"/>
      <c r="K1" s="3"/>
      <c r="L1" s="2"/>
      <c r="M1" s="2"/>
    </row>
    <row r="2" spans="1:13" ht="18" customHeight="1" thickBot="1" x14ac:dyDescent="0.3">
      <c r="A2" s="593"/>
      <c r="B2" s="594"/>
      <c r="C2" s="594"/>
      <c r="D2" s="594"/>
      <c r="E2" s="594"/>
      <c r="F2" s="594"/>
      <c r="G2" s="594"/>
      <c r="H2" s="594"/>
      <c r="I2" s="595"/>
      <c r="J2" s="3"/>
      <c r="K2" s="3"/>
      <c r="L2" s="2"/>
      <c r="M2" s="2"/>
    </row>
    <row r="3" spans="1:13" s="17" customFormat="1" ht="18" customHeight="1" thickBot="1" x14ac:dyDescent="0.3">
      <c r="A3" s="22"/>
      <c r="B3" s="21"/>
      <c r="C3" s="21"/>
      <c r="D3" s="21"/>
      <c r="E3" s="21"/>
      <c r="F3" s="21"/>
      <c r="G3" s="21"/>
      <c r="H3" s="21"/>
      <c r="I3" s="20"/>
      <c r="J3" s="19"/>
      <c r="K3" s="19"/>
      <c r="L3" s="18"/>
      <c r="M3" s="18"/>
    </row>
    <row r="4" spans="1:13" x14ac:dyDescent="0.25">
      <c r="A4" s="596" t="s">
        <v>23</v>
      </c>
      <c r="B4" s="597"/>
      <c r="C4" s="597"/>
      <c r="D4" s="67" t="s">
        <v>12</v>
      </c>
      <c r="E4" s="68" t="s">
        <v>11</v>
      </c>
      <c r="F4" s="16"/>
      <c r="G4" s="600" t="s">
        <v>22</v>
      </c>
      <c r="H4" s="601"/>
      <c r="I4" s="602"/>
      <c r="J4" s="3"/>
      <c r="K4" s="2"/>
      <c r="L4" s="2"/>
      <c r="M4" s="2"/>
    </row>
    <row r="5" spans="1:13" ht="15.75" thickBot="1" x14ac:dyDescent="0.3">
      <c r="A5" s="598"/>
      <c r="B5" s="599"/>
      <c r="C5" s="599"/>
      <c r="D5" s="69">
        <v>1</v>
      </c>
      <c r="E5" s="70">
        <f>1.5*0.6*0.05</f>
        <v>4.4999999999999998E-2</v>
      </c>
      <c r="F5" s="13"/>
      <c r="G5" s="603">
        <v>10</v>
      </c>
      <c r="H5" s="604"/>
      <c r="I5" s="605"/>
      <c r="J5" s="70">
        <f>G5*E5</f>
        <v>0.44999999999999996</v>
      </c>
      <c r="K5" s="3"/>
      <c r="L5" s="2"/>
      <c r="M5" s="2"/>
    </row>
    <row r="6" spans="1:13" ht="15.75" thickBot="1" x14ac:dyDescent="0.3">
      <c r="A6" s="66"/>
      <c r="B6" s="29"/>
      <c r="C6" s="29"/>
      <c r="D6" s="75"/>
      <c r="E6" s="76"/>
      <c r="F6" s="13"/>
      <c r="G6" s="2"/>
      <c r="H6" s="2"/>
      <c r="I6" s="14"/>
      <c r="J6" s="3"/>
      <c r="K6" s="3"/>
      <c r="L6" s="2"/>
      <c r="M6" s="2"/>
    </row>
    <row r="7" spans="1:13" ht="15.75" thickBot="1" x14ac:dyDescent="0.3">
      <c r="A7" s="606" t="s">
        <v>19</v>
      </c>
      <c r="B7" s="607"/>
      <c r="C7" s="608"/>
      <c r="D7" s="77"/>
      <c r="E7" s="78"/>
      <c r="F7" s="13"/>
      <c r="G7" s="2"/>
      <c r="H7" s="2"/>
      <c r="I7" s="14"/>
      <c r="J7" s="3"/>
      <c r="K7" s="3"/>
      <c r="L7" s="2"/>
      <c r="M7" s="2"/>
    </row>
    <row r="8" spans="1:13" s="24" customFormat="1" x14ac:dyDescent="0.25">
      <c r="A8" s="42" t="s">
        <v>10</v>
      </c>
      <c r="B8" s="87">
        <v>6</v>
      </c>
      <c r="C8" s="44">
        <v>1.7999999999999999E-2</v>
      </c>
      <c r="D8" s="84">
        <f>E8/E15</f>
        <v>0.4285714285714286</v>
      </c>
      <c r="E8" s="72">
        <f>B8*C8</f>
        <v>0.10799999999999998</v>
      </c>
      <c r="F8" s="45"/>
      <c r="G8" s="95">
        <f>($E$5*$G$5)*D8/C8</f>
        <v>10.714285714285715</v>
      </c>
      <c r="H8" s="47">
        <v>110</v>
      </c>
      <c r="I8" s="48">
        <f>H8/50*G8</f>
        <v>23.571428571428577</v>
      </c>
      <c r="J8" s="49"/>
      <c r="K8" s="50"/>
      <c r="L8" s="51"/>
      <c r="M8" s="92"/>
    </row>
    <row r="9" spans="1:13" x14ac:dyDescent="0.25">
      <c r="A9" s="31" t="s">
        <v>9</v>
      </c>
      <c r="B9" s="88">
        <v>0</v>
      </c>
      <c r="C9" s="33"/>
      <c r="D9" s="85"/>
      <c r="E9" s="74"/>
      <c r="F9" s="13"/>
      <c r="G9" s="37"/>
      <c r="H9" s="11">
        <v>170</v>
      </c>
      <c r="I9" s="9">
        <f t="shared" ref="I9:I11" si="0">G9*H9</f>
        <v>0</v>
      </c>
      <c r="J9" s="28"/>
      <c r="K9" s="3"/>
      <c r="L9" s="2"/>
      <c r="M9" s="2"/>
    </row>
    <row r="10" spans="1:13" s="24" customFormat="1" x14ac:dyDescent="0.25">
      <c r="A10" s="42" t="s">
        <v>8</v>
      </c>
      <c r="B10" s="87">
        <v>0</v>
      </c>
      <c r="C10" s="33"/>
      <c r="D10" s="84"/>
      <c r="E10" s="72"/>
      <c r="F10" s="45"/>
      <c r="G10" s="53"/>
      <c r="H10" s="54"/>
      <c r="I10" s="55">
        <f t="shared" si="0"/>
        <v>0</v>
      </c>
      <c r="J10" s="50"/>
      <c r="K10" s="50"/>
      <c r="L10" s="51"/>
      <c r="M10" s="51"/>
    </row>
    <row r="11" spans="1:13" ht="15.75" thickBot="1" x14ac:dyDescent="0.3">
      <c r="A11" s="31" t="s">
        <v>7</v>
      </c>
      <c r="B11" s="88">
        <v>0</v>
      </c>
      <c r="C11" s="33"/>
      <c r="D11" s="85"/>
      <c r="E11" s="74"/>
      <c r="F11" s="45"/>
      <c r="G11" s="37"/>
      <c r="H11" s="11">
        <v>175</v>
      </c>
      <c r="I11" s="9">
        <f t="shared" si="0"/>
        <v>0</v>
      </c>
      <c r="J11" s="3"/>
      <c r="K11" s="3"/>
      <c r="L11" s="2"/>
      <c r="M11" s="2"/>
    </row>
    <row r="12" spans="1:13" s="24" customFormat="1" x14ac:dyDescent="0.25">
      <c r="A12" s="42" t="s">
        <v>6</v>
      </c>
      <c r="B12" s="87">
        <v>6</v>
      </c>
      <c r="C12" s="33">
        <v>1.7999999999999999E-2</v>
      </c>
      <c r="D12" s="84">
        <f>E12/E15</f>
        <v>0.4285714285714286</v>
      </c>
      <c r="E12" s="72">
        <f>B12*C12</f>
        <v>0.10799999999999998</v>
      </c>
      <c r="F12" s="45"/>
      <c r="G12" s="95">
        <f>($E$5*$G$5)*D12/C12</f>
        <v>10.714285714285715</v>
      </c>
      <c r="H12" s="54">
        <v>175</v>
      </c>
      <c r="I12" s="48">
        <f>H12/50*G12</f>
        <v>37.5</v>
      </c>
      <c r="J12" s="50"/>
      <c r="K12" s="50"/>
      <c r="L12" s="51"/>
      <c r="M12" s="51"/>
    </row>
    <row r="13" spans="1:13" ht="15.75" thickBot="1" x14ac:dyDescent="0.3">
      <c r="A13" s="35" t="s">
        <v>5</v>
      </c>
      <c r="B13" s="89">
        <v>0</v>
      </c>
      <c r="C13" s="33"/>
      <c r="D13" s="85"/>
      <c r="E13" s="74"/>
      <c r="F13" s="45"/>
      <c r="G13" s="38"/>
      <c r="H13" s="11">
        <f>462</f>
        <v>462</v>
      </c>
      <c r="I13" s="9">
        <f>H13/53*G13</f>
        <v>0</v>
      </c>
      <c r="J13" s="3"/>
      <c r="K13" s="3"/>
      <c r="L13" s="2"/>
      <c r="M13" s="2"/>
    </row>
    <row r="14" spans="1:13" s="24" customFormat="1" ht="15.75" thickBot="1" x14ac:dyDescent="0.3">
      <c r="A14" s="56" t="s">
        <v>4</v>
      </c>
      <c r="B14" s="90">
        <v>1</v>
      </c>
      <c r="C14" s="58">
        <v>3.5999999999999997E-2</v>
      </c>
      <c r="D14" s="84">
        <f>E14/E15</f>
        <v>0.14285714285714288</v>
      </c>
      <c r="E14" s="72">
        <f>B14*C14</f>
        <v>3.5999999999999997E-2</v>
      </c>
      <c r="F14" s="45"/>
      <c r="G14" s="94">
        <f>(E5*G5)*D14/C14</f>
        <v>1.785714285714286</v>
      </c>
      <c r="H14" s="54">
        <v>35</v>
      </c>
      <c r="I14" s="48">
        <f>G14*H14</f>
        <v>62.500000000000014</v>
      </c>
      <c r="J14" s="50"/>
      <c r="K14" s="50"/>
      <c r="L14" s="60"/>
      <c r="M14" s="51"/>
    </row>
    <row r="15" spans="1:13" s="24" customFormat="1" ht="15.75" thickBot="1" x14ac:dyDescent="0.3">
      <c r="A15" s="79"/>
      <c r="B15" s="80"/>
      <c r="C15" s="81"/>
      <c r="D15" s="86"/>
      <c r="E15" s="83">
        <f>SUM(E8:E14)</f>
        <v>0.25199999999999995</v>
      </c>
      <c r="F15" s="93">
        <f>E15/E5</f>
        <v>5.5999999999999988</v>
      </c>
      <c r="G15" s="59"/>
      <c r="H15" s="54"/>
      <c r="I15" s="55"/>
      <c r="J15" s="50"/>
      <c r="K15" s="50"/>
      <c r="L15" s="60"/>
      <c r="M15" s="51"/>
    </row>
    <row r="16" spans="1:13" ht="15.75" thickBot="1" x14ac:dyDescent="0.3">
      <c r="A16" s="582" t="s">
        <v>20</v>
      </c>
      <c r="B16" s="583"/>
      <c r="C16" s="584"/>
      <c r="D16" s="585">
        <v>4</v>
      </c>
      <c r="E16" s="586"/>
      <c r="F16" s="4"/>
      <c r="G16" s="61">
        <v>2</v>
      </c>
      <c r="H16" s="11">
        <v>120</v>
      </c>
      <c r="I16" s="9">
        <f>(D16*H16)*G16</f>
        <v>960</v>
      </c>
      <c r="J16" s="27"/>
      <c r="K16" s="3"/>
      <c r="L16" s="2"/>
      <c r="M16" s="2"/>
    </row>
    <row r="17" spans="1:13" ht="15.75" thickBot="1" x14ac:dyDescent="0.3">
      <c r="A17" s="587" t="s">
        <v>21</v>
      </c>
      <c r="B17" s="588"/>
      <c r="C17" s="589"/>
      <c r="D17" s="635">
        <v>10</v>
      </c>
      <c r="E17" s="636"/>
      <c r="F17" s="4"/>
      <c r="G17" s="39" t="s">
        <v>2</v>
      </c>
      <c r="H17" s="40">
        <v>7.0000000000000007E-2</v>
      </c>
      <c r="I17" s="41">
        <f>G21*H17*G5</f>
        <v>140.00000000000003</v>
      </c>
      <c r="J17" s="3"/>
      <c r="K17" s="3"/>
      <c r="L17" s="2"/>
      <c r="M17" s="2"/>
    </row>
    <row r="18" spans="1:13" ht="15.75" thickBot="1" x14ac:dyDescent="0.3">
      <c r="A18" s="63"/>
      <c r="D18" s="8"/>
      <c r="E18" s="7"/>
      <c r="F18" s="4"/>
      <c r="G18" s="25"/>
      <c r="H18" s="6"/>
      <c r="I18" s="9"/>
      <c r="J18" s="3"/>
      <c r="K18" s="3"/>
      <c r="L18" s="2"/>
      <c r="M18" s="2"/>
    </row>
    <row r="19" spans="1:13" x14ac:dyDescent="0.25">
      <c r="A19" s="611" t="s">
        <v>17</v>
      </c>
      <c r="B19" s="612"/>
      <c r="C19" s="26">
        <f>SUM(C8:C14)</f>
        <v>7.1999999999999995E-2</v>
      </c>
      <c r="D19" s="8"/>
      <c r="E19" s="600" t="s">
        <v>1</v>
      </c>
      <c r="F19" s="602"/>
      <c r="G19" s="615">
        <f>SUM(I8:I17)/G5</f>
        <v>122.35714285714286</v>
      </c>
      <c r="H19" s="616"/>
      <c r="I19" s="617"/>
      <c r="J19" s="621">
        <f>(G21*G5)-(G19*G5)</f>
        <v>776.42857142857133</v>
      </c>
      <c r="K19" s="622"/>
      <c r="L19" s="633"/>
      <c r="M19" s="634"/>
    </row>
    <row r="20" spans="1:13" ht="15.75" thickBot="1" x14ac:dyDescent="0.3">
      <c r="A20" s="64" t="s">
        <v>18</v>
      </c>
      <c r="B20" s="15"/>
      <c r="C20" s="91">
        <v>26</v>
      </c>
      <c r="D20" s="8"/>
      <c r="E20" s="613"/>
      <c r="F20" s="614"/>
      <c r="G20" s="618"/>
      <c r="H20" s="619"/>
      <c r="I20" s="620"/>
      <c r="J20" s="623"/>
      <c r="K20" s="624"/>
      <c r="M20" s="2"/>
    </row>
    <row r="21" spans="1:13" x14ac:dyDescent="0.25">
      <c r="A21" s="5"/>
      <c r="B21" s="2"/>
      <c r="C21" s="2"/>
      <c r="D21" s="8"/>
      <c r="E21" s="600" t="s">
        <v>0</v>
      </c>
      <c r="F21" s="602"/>
      <c r="G21" s="627">
        <v>200</v>
      </c>
      <c r="H21" s="628"/>
      <c r="I21" s="629"/>
      <c r="J21" s="623"/>
      <c r="K21" s="624"/>
      <c r="M21" s="2"/>
    </row>
    <row r="22" spans="1:13" ht="15.75" thickBot="1" x14ac:dyDescent="0.3">
      <c r="A22" s="65"/>
      <c r="B22" s="62"/>
      <c r="C22" s="62"/>
      <c r="D22" s="62"/>
      <c r="E22" s="613"/>
      <c r="F22" s="614"/>
      <c r="G22" s="630"/>
      <c r="H22" s="631"/>
      <c r="I22" s="632"/>
      <c r="J22" s="625"/>
      <c r="K22" s="626"/>
    </row>
  </sheetData>
  <mergeCells count="16">
    <mergeCell ref="A16:C16"/>
    <mergeCell ref="D16:E16"/>
    <mergeCell ref="A1:I2"/>
    <mergeCell ref="A4:C5"/>
    <mergeCell ref="G4:I4"/>
    <mergeCell ref="G5:I5"/>
    <mergeCell ref="A7:C7"/>
    <mergeCell ref="L19:M19"/>
    <mergeCell ref="E21:F22"/>
    <mergeCell ref="G21:I22"/>
    <mergeCell ref="A17:C17"/>
    <mergeCell ref="D17:E17"/>
    <mergeCell ref="A19:B19"/>
    <mergeCell ref="E19:F20"/>
    <mergeCell ref="G19:I20"/>
    <mergeCell ref="J19:K2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1ECA-6A20-4CAF-893D-6BF8E26884FE}">
  <dimension ref="A1:P83"/>
  <sheetViews>
    <sheetView showGridLines="0" topLeftCell="A44" workbookViewId="0">
      <selection activeCell="O67" sqref="O67"/>
    </sheetView>
  </sheetViews>
  <sheetFormatPr defaultRowHeight="15" x14ac:dyDescent="0.25"/>
  <cols>
    <col min="1" max="1" width="16.42578125" style="1" bestFit="1" customWidth="1"/>
    <col min="2" max="2" width="12.140625" style="1" bestFit="1" customWidth="1"/>
    <col min="3" max="3" width="10.5703125" style="1" bestFit="1" customWidth="1"/>
    <col min="4" max="4" width="10.5703125" style="1" customWidth="1"/>
    <col min="5" max="5" width="9.42578125" style="1" bestFit="1" customWidth="1"/>
    <col min="6" max="6" width="13.85546875" style="1" bestFit="1" customWidth="1"/>
    <col min="7" max="7" width="13.85546875" style="1" customWidth="1"/>
    <col min="8" max="8" width="14.7109375" style="1" bestFit="1" customWidth="1"/>
    <col min="9" max="10" width="9.85546875" style="1" bestFit="1" customWidth="1"/>
    <col min="11" max="11" width="12.140625" style="1" bestFit="1" customWidth="1"/>
    <col min="12" max="12" width="7.5703125" style="1" bestFit="1" customWidth="1"/>
    <col min="13" max="13" width="26" style="1" bestFit="1" customWidth="1"/>
    <col min="14" max="14" width="10.5703125" style="1" bestFit="1" customWidth="1"/>
    <col min="15" max="16384" width="9.140625" style="1"/>
  </cols>
  <sheetData>
    <row r="1" spans="1:16" x14ac:dyDescent="0.25">
      <c r="A1" s="590" t="s">
        <v>14</v>
      </c>
      <c r="B1" s="591"/>
      <c r="C1" s="591"/>
      <c r="D1" s="591"/>
      <c r="E1" s="591"/>
      <c r="F1" s="591"/>
      <c r="G1" s="591"/>
      <c r="H1" s="591"/>
      <c r="I1" s="591"/>
      <c r="J1" s="591"/>
      <c r="K1" s="592"/>
      <c r="L1" s="3"/>
      <c r="M1" s="3"/>
      <c r="N1" s="2"/>
      <c r="O1" s="2"/>
      <c r="P1" s="2"/>
    </row>
    <row r="2" spans="1:16" ht="18" customHeight="1" thickBot="1" x14ac:dyDescent="0.3">
      <c r="A2" s="593"/>
      <c r="B2" s="594"/>
      <c r="C2" s="594"/>
      <c r="D2" s="594"/>
      <c r="E2" s="594"/>
      <c r="F2" s="594"/>
      <c r="G2" s="594"/>
      <c r="H2" s="594"/>
      <c r="I2" s="594"/>
      <c r="J2" s="594"/>
      <c r="K2" s="595"/>
      <c r="L2" s="3"/>
      <c r="M2" s="3"/>
      <c r="N2" s="2"/>
      <c r="O2" s="2"/>
      <c r="P2" s="2"/>
    </row>
    <row r="3" spans="1:16" s="17" customFormat="1" ht="18" customHeight="1" thickBot="1" x14ac:dyDescent="0.3">
      <c r="A3" s="22"/>
      <c r="B3" s="21"/>
      <c r="C3" s="21"/>
      <c r="D3" s="21"/>
      <c r="E3" s="21"/>
      <c r="F3" s="21"/>
      <c r="G3" s="21"/>
      <c r="H3" s="21"/>
      <c r="I3" s="21"/>
      <c r="J3" s="21"/>
      <c r="K3" s="20"/>
      <c r="L3" s="19"/>
      <c r="M3" s="19"/>
      <c r="N3" s="18"/>
      <c r="O3" s="18"/>
      <c r="P3" s="18"/>
    </row>
    <row r="4" spans="1:16" x14ac:dyDescent="0.25">
      <c r="A4" s="596" t="s">
        <v>23</v>
      </c>
      <c r="B4" s="597"/>
      <c r="C4" s="597"/>
      <c r="D4" s="324"/>
      <c r="E4" s="67" t="s">
        <v>12</v>
      </c>
      <c r="F4" s="68" t="s">
        <v>11</v>
      </c>
      <c r="G4" s="351"/>
      <c r="H4" s="16"/>
      <c r="I4" s="600" t="s">
        <v>22</v>
      </c>
      <c r="J4" s="601"/>
      <c r="K4" s="602"/>
      <c r="L4" s="3"/>
      <c r="M4" s="2"/>
      <c r="N4" s="2"/>
      <c r="O4" s="2"/>
      <c r="P4" s="2"/>
    </row>
    <row r="5" spans="1:16" ht="15.75" thickBot="1" x14ac:dyDescent="0.3">
      <c r="A5" s="598"/>
      <c r="B5" s="599"/>
      <c r="C5" s="599"/>
      <c r="D5" s="325"/>
      <c r="E5" s="69">
        <v>1</v>
      </c>
      <c r="F5" s="70">
        <f>C19/C20</f>
        <v>0.26803333333333335</v>
      </c>
      <c r="G5" s="352"/>
      <c r="H5" s="13"/>
      <c r="I5" s="603">
        <v>20</v>
      </c>
      <c r="J5" s="604"/>
      <c r="K5" s="605"/>
      <c r="L5" s="27"/>
      <c r="M5" s="3"/>
      <c r="N5" s="2"/>
      <c r="O5" s="2"/>
      <c r="P5" s="2"/>
    </row>
    <row r="6" spans="1:16" ht="15.75" thickBot="1" x14ac:dyDescent="0.3">
      <c r="A6" s="66"/>
      <c r="B6" s="29"/>
      <c r="C6" s="29"/>
      <c r="D6" s="29"/>
      <c r="E6" s="75"/>
      <c r="F6" s="76"/>
      <c r="G6" s="76"/>
      <c r="H6" s="13"/>
      <c r="I6" s="2"/>
      <c r="J6" s="2"/>
      <c r="K6" s="14"/>
      <c r="L6" s="3"/>
      <c r="M6" s="3"/>
      <c r="N6" s="2"/>
      <c r="O6" s="2"/>
      <c r="P6" s="2"/>
    </row>
    <row r="7" spans="1:16" ht="15.75" thickBot="1" x14ac:dyDescent="0.3">
      <c r="A7" s="606" t="s">
        <v>19</v>
      </c>
      <c r="B7" s="607"/>
      <c r="C7" s="608"/>
      <c r="D7" s="340"/>
      <c r="E7" s="77"/>
      <c r="F7" s="78"/>
      <c r="G7" s="76"/>
      <c r="H7" s="13"/>
      <c r="I7" s="2"/>
      <c r="J7" s="2"/>
      <c r="K7" s="14"/>
      <c r="L7" s="3"/>
      <c r="M7" s="3"/>
      <c r="N7" s="2"/>
      <c r="O7" s="2"/>
      <c r="P7" s="2"/>
    </row>
    <row r="8" spans="1:16" s="24" customFormat="1" x14ac:dyDescent="0.25">
      <c r="A8" s="42" t="s">
        <v>10</v>
      </c>
      <c r="B8" s="43">
        <v>5.5</v>
      </c>
      <c r="C8" s="44">
        <f>B8*1/50</f>
        <v>0.11</v>
      </c>
      <c r="D8" s="341"/>
      <c r="E8" s="71">
        <f t="shared" ref="E8:E14" si="0">C8/$C$19</f>
        <v>0.27359781121751026</v>
      </c>
      <c r="F8" s="72">
        <f>$F$5*E8</f>
        <v>7.3333333333333334E-2</v>
      </c>
      <c r="G8" s="353"/>
      <c r="H8" s="45"/>
      <c r="I8" s="46">
        <f>I5*F8</f>
        <v>1.4666666666666668</v>
      </c>
      <c r="J8" s="47">
        <v>110</v>
      </c>
      <c r="K8" s="48">
        <f>I8*J8</f>
        <v>161.33333333333334</v>
      </c>
      <c r="L8" s="49"/>
      <c r="M8" s="50"/>
      <c r="N8" s="51"/>
      <c r="O8" s="2"/>
      <c r="P8" s="2"/>
    </row>
    <row r="9" spans="1:16" x14ac:dyDescent="0.25">
      <c r="A9" s="31" t="s">
        <v>9</v>
      </c>
      <c r="B9" s="32">
        <v>7.5</v>
      </c>
      <c r="C9" s="33">
        <f>B9/1/50</f>
        <v>0.15</v>
      </c>
      <c r="D9" s="342"/>
      <c r="E9" s="73">
        <f t="shared" si="0"/>
        <v>0.37308792438751398</v>
      </c>
      <c r="F9" s="74">
        <f>$F$5*E9</f>
        <v>0.1</v>
      </c>
      <c r="G9" s="354"/>
      <c r="H9" s="13"/>
      <c r="I9" s="37">
        <f>F9*$I$5</f>
        <v>2</v>
      </c>
      <c r="J9" s="11">
        <v>170</v>
      </c>
      <c r="K9" s="9">
        <f t="shared" ref="K9:K14" si="1">I9*J9</f>
        <v>340</v>
      </c>
      <c r="L9" s="28"/>
      <c r="M9" s="3"/>
      <c r="N9" s="2"/>
      <c r="O9" s="2"/>
      <c r="P9" s="2"/>
    </row>
    <row r="10" spans="1:16" s="24" customFormat="1" x14ac:dyDescent="0.25">
      <c r="A10" s="42" t="s">
        <v>8</v>
      </c>
      <c r="B10" s="43">
        <v>0</v>
      </c>
      <c r="C10" s="33">
        <f t="shared" ref="C10:C12" si="2">B10/1/50</f>
        <v>0</v>
      </c>
      <c r="D10" s="342"/>
      <c r="E10" s="71">
        <f t="shared" si="0"/>
        <v>0</v>
      </c>
      <c r="F10" s="72">
        <f t="shared" ref="F10:F14" si="3">$F$5*E10</f>
        <v>0</v>
      </c>
      <c r="G10" s="353"/>
      <c r="H10" s="45"/>
      <c r="I10" s="53">
        <f>F10*$I$5</f>
        <v>0</v>
      </c>
      <c r="J10" s="54"/>
      <c r="K10" s="55">
        <f t="shared" si="1"/>
        <v>0</v>
      </c>
      <c r="L10" s="50"/>
      <c r="M10" s="50"/>
      <c r="N10" s="51"/>
      <c r="O10" s="2"/>
      <c r="P10" s="2"/>
    </row>
    <row r="11" spans="1:16" x14ac:dyDescent="0.25">
      <c r="A11" s="31" t="s">
        <v>7</v>
      </c>
      <c r="B11" s="32">
        <v>5</v>
      </c>
      <c r="C11" s="33">
        <f>B11/1/50</f>
        <v>0.1</v>
      </c>
      <c r="D11" s="342"/>
      <c r="E11" s="73">
        <f t="shared" si="0"/>
        <v>0.24872528292500934</v>
      </c>
      <c r="F11" s="74">
        <f t="shared" si="3"/>
        <v>6.666666666666668E-2</v>
      </c>
      <c r="G11" s="354"/>
      <c r="H11" s="45"/>
      <c r="I11" s="37">
        <f>F11*$I$5</f>
        <v>1.3333333333333335</v>
      </c>
      <c r="J11" s="11">
        <v>175</v>
      </c>
      <c r="K11" s="9">
        <f t="shared" si="1"/>
        <v>233.33333333333337</v>
      </c>
      <c r="L11" s="3"/>
      <c r="M11" s="3"/>
      <c r="N11" s="2"/>
      <c r="O11" s="2"/>
      <c r="P11" s="2"/>
    </row>
    <row r="12" spans="1:16" s="24" customFormat="1" x14ac:dyDescent="0.25">
      <c r="A12" s="42" t="s">
        <v>6</v>
      </c>
      <c r="B12" s="43">
        <v>1.2</v>
      </c>
      <c r="C12" s="33">
        <f t="shared" si="2"/>
        <v>2.4E-2</v>
      </c>
      <c r="D12" s="342"/>
      <c r="E12" s="71">
        <f t="shared" si="0"/>
        <v>5.969406790200224E-2</v>
      </c>
      <c r="F12" s="72">
        <f t="shared" si="3"/>
        <v>1.6E-2</v>
      </c>
      <c r="G12" s="353"/>
      <c r="H12" s="45"/>
      <c r="I12" s="53">
        <f>F12*$I$5</f>
        <v>0.32</v>
      </c>
      <c r="J12" s="54">
        <v>175</v>
      </c>
      <c r="K12" s="55">
        <f t="shared" si="1"/>
        <v>56</v>
      </c>
      <c r="L12" s="50"/>
      <c r="M12" s="50"/>
      <c r="N12" s="51"/>
      <c r="O12" s="2"/>
      <c r="P12" s="2"/>
    </row>
    <row r="13" spans="1:16" x14ac:dyDescent="0.25">
      <c r="A13" s="35" t="s">
        <v>5</v>
      </c>
      <c r="B13" s="36">
        <v>0.05</v>
      </c>
      <c r="C13" s="33">
        <f>B13*0.001/1</f>
        <v>5.0000000000000002E-5</v>
      </c>
      <c r="D13" s="342"/>
      <c r="E13" s="73">
        <f t="shared" si="0"/>
        <v>1.2436264146250465E-4</v>
      </c>
      <c r="F13" s="74">
        <f>$F$5*E13</f>
        <v>3.3333333333333335E-5</v>
      </c>
      <c r="G13" s="354"/>
      <c r="H13" s="45"/>
      <c r="I13" s="38">
        <f>B13/C20*I5</f>
        <v>0.66666666666666663</v>
      </c>
      <c r="J13" s="11">
        <f>462</f>
        <v>462</v>
      </c>
      <c r="K13" s="9">
        <f>J13/53*I13</f>
        <v>5.8113207547169807</v>
      </c>
      <c r="L13" s="3"/>
      <c r="M13" s="3"/>
      <c r="N13" s="2"/>
      <c r="O13" s="2"/>
      <c r="P13" s="2"/>
    </row>
    <row r="14" spans="1:16" s="24" customFormat="1" ht="15.75" thickBot="1" x14ac:dyDescent="0.3">
      <c r="A14" s="56" t="s">
        <v>4</v>
      </c>
      <c r="B14" s="57">
        <v>0.5</v>
      </c>
      <c r="C14" s="58">
        <f>B14*0.036/1</f>
        <v>1.7999999999999999E-2</v>
      </c>
      <c r="D14" s="343"/>
      <c r="E14" s="71">
        <f t="shared" si="0"/>
        <v>4.4770550926501673E-2</v>
      </c>
      <c r="F14" s="72">
        <f t="shared" si="3"/>
        <v>1.1999999999999999E-2</v>
      </c>
      <c r="G14" s="353"/>
      <c r="H14" s="45"/>
      <c r="I14" s="59">
        <f>F14*$I$5/0.036</f>
        <v>6.6666666666666661</v>
      </c>
      <c r="J14" s="54">
        <v>35</v>
      </c>
      <c r="K14" s="55">
        <f t="shared" si="1"/>
        <v>233.33333333333331</v>
      </c>
      <c r="L14" s="50"/>
      <c r="M14" s="50"/>
      <c r="N14" s="60"/>
      <c r="O14" s="2"/>
      <c r="P14" s="2"/>
    </row>
    <row r="15" spans="1:16" s="24" customFormat="1" ht="15.75" thickBot="1" x14ac:dyDescent="0.3">
      <c r="A15" s="79"/>
      <c r="B15" s="80"/>
      <c r="C15" s="81"/>
      <c r="D15" s="81"/>
      <c r="E15" s="82"/>
      <c r="F15" s="83"/>
      <c r="G15" s="247"/>
      <c r="H15" s="45"/>
      <c r="I15" s="59"/>
      <c r="J15" s="54"/>
      <c r="K15" s="55"/>
      <c r="L15" s="50"/>
      <c r="M15" s="50"/>
      <c r="N15" s="60"/>
      <c r="O15" s="2"/>
      <c r="P15" s="2"/>
    </row>
    <row r="16" spans="1:16" ht="15.75" thickBot="1" x14ac:dyDescent="0.3">
      <c r="A16" s="582" t="s">
        <v>20</v>
      </c>
      <c r="B16" s="583"/>
      <c r="C16" s="584"/>
      <c r="D16" s="344"/>
      <c r="E16" s="708">
        <v>5</v>
      </c>
      <c r="F16" s="709"/>
      <c r="G16" s="355"/>
      <c r="H16" s="4"/>
      <c r="I16" s="61">
        <f>I5/E17</f>
        <v>1</v>
      </c>
      <c r="J16" s="11">
        <v>120</v>
      </c>
      <c r="K16" s="9">
        <f>(E16*J16)*I16</f>
        <v>600</v>
      </c>
      <c r="L16" s="27"/>
      <c r="M16" s="3"/>
      <c r="N16" s="2"/>
      <c r="O16" s="2"/>
      <c r="P16" s="2"/>
    </row>
    <row r="17" spans="1:16" ht="15.75" thickBot="1" x14ac:dyDescent="0.3">
      <c r="A17" s="587" t="s">
        <v>21</v>
      </c>
      <c r="B17" s="588"/>
      <c r="C17" s="589"/>
      <c r="D17" s="345"/>
      <c r="E17" s="716">
        <v>20</v>
      </c>
      <c r="F17" s="717"/>
      <c r="G17" s="356"/>
      <c r="H17" s="4"/>
      <c r="I17" s="39" t="s">
        <v>2</v>
      </c>
      <c r="J17" s="40">
        <v>7.0000000000000007E-2</v>
      </c>
      <c r="K17" s="41">
        <f>I21*J17*I5</f>
        <v>406</v>
      </c>
      <c r="L17" s="3"/>
      <c r="M17" s="3"/>
      <c r="N17" s="2"/>
      <c r="O17" s="2"/>
      <c r="P17" s="2"/>
    </row>
    <row r="18" spans="1:16" ht="15.75" thickBot="1" x14ac:dyDescent="0.3">
      <c r="A18" s="63"/>
      <c r="E18" s="8"/>
      <c r="F18" s="7"/>
      <c r="G18" s="7"/>
      <c r="H18" s="4"/>
      <c r="I18" s="25"/>
      <c r="J18" s="6"/>
      <c r="K18" s="9"/>
      <c r="L18" s="3"/>
      <c r="M18" s="3"/>
      <c r="N18" s="2"/>
      <c r="O18" s="710" t="e">
        <f>(#REF!*#REF!)-#REF!</f>
        <v>#REF!</v>
      </c>
      <c r="P18" s="711"/>
    </row>
    <row r="19" spans="1:16" x14ac:dyDescent="0.25">
      <c r="A19" s="611" t="s">
        <v>17</v>
      </c>
      <c r="B19" s="612"/>
      <c r="C19" s="26">
        <f>SUM(C8:C14)</f>
        <v>0.40205000000000002</v>
      </c>
      <c r="D19" s="346"/>
      <c r="E19" s="8"/>
      <c r="F19" s="600" t="s">
        <v>1</v>
      </c>
      <c r="G19" s="601"/>
      <c r="H19" s="602"/>
      <c r="I19" s="615">
        <f>SUM(K8:K17)/I5</f>
        <v>101.79056603773586</v>
      </c>
      <c r="J19" s="616"/>
      <c r="K19" s="617"/>
      <c r="L19" s="621">
        <f>(I21*I5)-(I19*I5)</f>
        <v>3764.1886792452829</v>
      </c>
      <c r="M19" s="622"/>
      <c r="N19" s="326"/>
      <c r="O19" s="712"/>
      <c r="P19" s="713"/>
    </row>
    <row r="20" spans="1:16" ht="15.75" thickBot="1" x14ac:dyDescent="0.3">
      <c r="A20" s="64" t="s">
        <v>18</v>
      </c>
      <c r="B20" s="15"/>
      <c r="C20" s="30">
        <f>9/6</f>
        <v>1.5</v>
      </c>
      <c r="D20" s="347"/>
      <c r="E20" s="8"/>
      <c r="F20" s="613"/>
      <c r="G20" s="665"/>
      <c r="H20" s="614"/>
      <c r="I20" s="618"/>
      <c r="J20" s="619"/>
      <c r="K20" s="620"/>
      <c r="L20" s="623"/>
      <c r="M20" s="624"/>
      <c r="O20" s="712"/>
      <c r="P20" s="713"/>
    </row>
    <row r="21" spans="1:16" ht="15.75" thickBot="1" x14ac:dyDescent="0.3">
      <c r="A21" s="5"/>
      <c r="B21" s="2"/>
      <c r="C21" s="2"/>
      <c r="D21" s="2"/>
      <c r="E21" s="8"/>
      <c r="F21" s="600" t="s">
        <v>0</v>
      </c>
      <c r="G21" s="601"/>
      <c r="H21" s="602"/>
      <c r="I21" s="627">
        <v>290</v>
      </c>
      <c r="J21" s="628"/>
      <c r="K21" s="629"/>
      <c r="L21" s="623"/>
      <c r="M21" s="624"/>
      <c r="O21" s="714"/>
      <c r="P21" s="715"/>
    </row>
    <row r="22" spans="1:16" ht="15.75" thickBot="1" x14ac:dyDescent="0.3">
      <c r="A22" s="65"/>
      <c r="B22" s="62"/>
      <c r="C22" s="62"/>
      <c r="D22" s="62"/>
      <c r="E22" s="62"/>
      <c r="F22" s="613"/>
      <c r="G22" s="665"/>
      <c r="H22" s="614"/>
      <c r="I22" s="630"/>
      <c r="J22" s="631"/>
      <c r="K22" s="632"/>
      <c r="L22" s="625"/>
      <c r="M22" s="626"/>
    </row>
    <row r="28" spans="1:16" ht="26.25" x14ac:dyDescent="0.25">
      <c r="A28" s="723" t="s">
        <v>14</v>
      </c>
      <c r="B28" s="724"/>
      <c r="C28" s="724"/>
      <c r="D28" s="724"/>
      <c r="E28" s="724"/>
      <c r="F28" s="724"/>
      <c r="G28" s="724"/>
      <c r="H28" s="724"/>
      <c r="I28" s="724"/>
      <c r="J28" s="724"/>
      <c r="K28" s="725"/>
    </row>
    <row r="29" spans="1:16" ht="15.75" x14ac:dyDescent="0.25">
      <c r="A29" s="726" t="s">
        <v>68</v>
      </c>
      <c r="B29" s="727"/>
      <c r="C29" s="727"/>
      <c r="D29" s="727"/>
      <c r="E29" s="727"/>
      <c r="F29" s="727"/>
      <c r="G29" s="727"/>
      <c r="H29" s="727"/>
      <c r="I29" s="727"/>
      <c r="J29" s="727"/>
      <c r="K29" s="728"/>
    </row>
    <row r="30" spans="1:16" ht="24" thickBot="1" x14ac:dyDescent="0.4">
      <c r="A30" s="328"/>
      <c r="B30" s="329"/>
      <c r="C30" s="329"/>
      <c r="D30" s="329"/>
      <c r="E30" s="329"/>
      <c r="F30" s="329"/>
      <c r="G30" s="329"/>
      <c r="H30" s="329"/>
      <c r="I30" s="329"/>
      <c r="J30" s="329"/>
      <c r="K30" s="330"/>
    </row>
    <row r="31" spans="1:16" ht="23.25" x14ac:dyDescent="0.35">
      <c r="A31" s="328"/>
      <c r="B31" s="331">
        <v>5</v>
      </c>
      <c r="C31" s="729" t="s">
        <v>69</v>
      </c>
      <c r="D31" s="729"/>
      <c r="E31" s="729"/>
      <c r="F31" s="730" t="s">
        <v>70</v>
      </c>
      <c r="G31" s="730"/>
      <c r="H31" s="730"/>
      <c r="I31" s="731"/>
      <c r="J31" s="329"/>
      <c r="K31" s="330"/>
    </row>
    <row r="32" spans="1:16" ht="23.25" x14ac:dyDescent="0.35">
      <c r="A32" s="328"/>
      <c r="B32" s="328"/>
      <c r="C32" s="329"/>
      <c r="D32" s="329"/>
      <c r="E32" s="329"/>
      <c r="F32" s="332"/>
      <c r="G32" s="332"/>
      <c r="H32" s="332"/>
      <c r="I32" s="333"/>
      <c r="J32" s="329"/>
      <c r="K32" s="330"/>
    </row>
    <row r="33" spans="1:14" ht="23.25" x14ac:dyDescent="0.35">
      <c r="A33" s="328"/>
      <c r="B33" s="334">
        <v>9</v>
      </c>
      <c r="C33" s="732" t="s">
        <v>69</v>
      </c>
      <c r="D33" s="732"/>
      <c r="E33" s="732"/>
      <c r="F33" s="733" t="s">
        <v>7</v>
      </c>
      <c r="G33" s="733"/>
      <c r="H33" s="733"/>
      <c r="I33" s="734"/>
      <c r="J33" s="329"/>
      <c r="K33" s="330"/>
    </row>
    <row r="34" spans="1:14" ht="23.25" x14ac:dyDescent="0.35">
      <c r="A34" s="328"/>
      <c r="B34" s="328"/>
      <c r="C34" s="329"/>
      <c r="D34" s="329"/>
      <c r="E34" s="329"/>
      <c r="F34" s="332"/>
      <c r="G34" s="332"/>
      <c r="H34" s="332"/>
      <c r="I34" s="333"/>
      <c r="J34" s="329"/>
      <c r="K34" s="330"/>
    </row>
    <row r="35" spans="1:14" ht="23.25" x14ac:dyDescent="0.35">
      <c r="A35" s="328"/>
      <c r="B35" s="334">
        <v>2</v>
      </c>
      <c r="C35" s="732" t="s">
        <v>71</v>
      </c>
      <c r="D35" s="732"/>
      <c r="E35" s="732"/>
      <c r="F35" s="733" t="s">
        <v>72</v>
      </c>
      <c r="G35" s="733"/>
      <c r="H35" s="733"/>
      <c r="I35" s="734"/>
      <c r="J35" s="329"/>
      <c r="K35" s="330"/>
    </row>
    <row r="36" spans="1:14" ht="23.25" x14ac:dyDescent="0.35">
      <c r="A36" s="328"/>
      <c r="B36" s="334"/>
      <c r="C36" s="335"/>
      <c r="D36" s="335"/>
      <c r="E36" s="329"/>
      <c r="F36" s="332"/>
      <c r="G36" s="332"/>
      <c r="H36" s="332"/>
      <c r="I36" s="333"/>
      <c r="J36" s="329"/>
      <c r="K36" s="330"/>
    </row>
    <row r="37" spans="1:14" ht="24" thickBot="1" x14ac:dyDescent="0.4">
      <c r="A37" s="328"/>
      <c r="B37" s="336">
        <v>1</v>
      </c>
      <c r="C37" s="737" t="s">
        <v>73</v>
      </c>
      <c r="D37" s="737"/>
      <c r="E37" s="737"/>
      <c r="F37" s="738" t="s">
        <v>4</v>
      </c>
      <c r="G37" s="738"/>
      <c r="H37" s="738"/>
      <c r="I37" s="739"/>
      <c r="J37" s="329"/>
      <c r="K37" s="330"/>
    </row>
    <row r="41" spans="1:14" ht="15.75" thickBot="1" x14ac:dyDescent="0.3">
      <c r="B41" s="17"/>
    </row>
    <row r="42" spans="1:14" ht="15.75" thickBot="1" x14ac:dyDescent="0.3">
      <c r="A42" s="720" t="s">
        <v>74</v>
      </c>
      <c r="B42" s="721"/>
      <c r="C42" s="721"/>
      <c r="D42" s="722"/>
    </row>
    <row r="43" spans="1:14" s="17" customFormat="1" x14ac:dyDescent="0.25">
      <c r="A43" s="371" t="s">
        <v>75</v>
      </c>
      <c r="B43" s="373">
        <v>1.2</v>
      </c>
      <c r="C43" s="372">
        <f>B43/2</f>
        <v>0.6</v>
      </c>
      <c r="D43" s="735">
        <f>3.14159*(((C43*C43)-(C44*C44))*B45)</f>
        <v>9.03207124999999E-2</v>
      </c>
      <c r="E43" s="1"/>
      <c r="F43" s="286"/>
      <c r="G43" s="286"/>
      <c r="H43" s="363" t="s">
        <v>63</v>
      </c>
      <c r="I43" s="364">
        <v>1</v>
      </c>
      <c r="J43" s="286"/>
      <c r="K43" s="286"/>
      <c r="L43" s="286"/>
      <c r="M43" s="286"/>
      <c r="N43" s="269"/>
    </row>
    <row r="44" spans="1:14" x14ac:dyDescent="0.25">
      <c r="A44" s="360" t="s">
        <v>76</v>
      </c>
      <c r="B44" s="373">
        <v>1.1000000000000001</v>
      </c>
      <c r="C44" s="370">
        <f>B44/2</f>
        <v>0.55000000000000004</v>
      </c>
      <c r="D44" s="735"/>
      <c r="H44" s="365" t="s">
        <v>62</v>
      </c>
      <c r="I44" s="366">
        <f>D43</f>
        <v>9.03207124999999E-2</v>
      </c>
      <c r="J44" s="1">
        <f>+I44*117.01%+I44</f>
        <v>0.19600497819624979</v>
      </c>
      <c r="K44" s="391">
        <f>+J44/F62</f>
        <v>0.82355032855567145</v>
      </c>
    </row>
    <row r="45" spans="1:14" x14ac:dyDescent="0.25">
      <c r="A45" s="360" t="s">
        <v>77</v>
      </c>
      <c r="B45" s="373">
        <v>0.5</v>
      </c>
      <c r="C45" s="370"/>
      <c r="D45" s="735"/>
      <c r="H45" s="365" t="s">
        <v>60</v>
      </c>
      <c r="I45" s="367">
        <f>I44*2500+D47</f>
        <v>227.00933992999975</v>
      </c>
    </row>
    <row r="46" spans="1:14" ht="15.75" thickBot="1" x14ac:dyDescent="0.3">
      <c r="A46" s="360" t="s">
        <v>78</v>
      </c>
      <c r="B46" s="373">
        <v>0.05</v>
      </c>
      <c r="C46" s="370"/>
      <c r="D46" s="736"/>
      <c r="H46" s="368" t="s">
        <v>61</v>
      </c>
      <c r="I46" s="369">
        <v>1.09091</v>
      </c>
      <c r="J46" s="390"/>
      <c r="K46" s="327"/>
      <c r="L46" s="315"/>
      <c r="M46" s="315"/>
      <c r="N46" s="285"/>
    </row>
    <row r="47" spans="1:14" ht="15.75" thickBot="1" x14ac:dyDescent="0.3">
      <c r="A47" s="361" t="s">
        <v>79</v>
      </c>
      <c r="B47" s="374">
        <f>3.1416*((B43+B44)/2)+0.08</f>
        <v>3.6928399999999999</v>
      </c>
      <c r="C47" s="282">
        <v>3</v>
      </c>
      <c r="D47" s="362">
        <f>B47*C47*0.109</f>
        <v>1.20755868</v>
      </c>
      <c r="H47" s="1" t="s">
        <v>82</v>
      </c>
      <c r="I47" s="374">
        <v>11</v>
      </c>
      <c r="J47" s="271"/>
      <c r="K47" s="315"/>
      <c r="L47" s="315"/>
      <c r="M47" s="315"/>
      <c r="N47" s="285"/>
    </row>
    <row r="48" spans="1:14" x14ac:dyDescent="0.25">
      <c r="A48" s="266"/>
      <c r="B48" s="63"/>
      <c r="J48" s="271"/>
      <c r="K48" s="315"/>
      <c r="L48" s="315"/>
      <c r="M48" s="315"/>
      <c r="N48" s="285"/>
    </row>
    <row r="49" spans="1:14" x14ac:dyDescent="0.25">
      <c r="A49" s="266"/>
      <c r="B49" s="63"/>
      <c r="J49" s="271"/>
      <c r="K49" s="315"/>
      <c r="L49" s="315"/>
      <c r="M49" s="315"/>
      <c r="N49" s="285"/>
    </row>
    <row r="50" spans="1:14" ht="15.75" thickBot="1" x14ac:dyDescent="0.3">
      <c r="A50" s="266"/>
      <c r="B50" s="63"/>
      <c r="J50" s="271"/>
      <c r="K50" s="718" t="s">
        <v>65</v>
      </c>
      <c r="L50" s="718"/>
      <c r="M50" s="718"/>
      <c r="N50" s="719"/>
    </row>
    <row r="51" spans="1:14" ht="26.25" x14ac:dyDescent="0.25">
      <c r="A51" s="266"/>
      <c r="B51" s="63"/>
      <c r="E51" s="272"/>
      <c r="H51" s="272"/>
      <c r="I51" s="271"/>
      <c r="J51" s="271"/>
      <c r="K51" s="746">
        <v>12</v>
      </c>
      <c r="L51" s="747"/>
      <c r="M51" s="747"/>
      <c r="N51" s="748"/>
    </row>
    <row r="52" spans="1:14" ht="15.75" thickBot="1" x14ac:dyDescent="0.3">
      <c r="A52" s="266"/>
      <c r="B52" s="273" t="s">
        <v>57</v>
      </c>
      <c r="C52" s="273" t="s">
        <v>64</v>
      </c>
      <c r="D52" s="273" t="s">
        <v>80</v>
      </c>
      <c r="E52" s="273" t="s">
        <v>58</v>
      </c>
      <c r="F52" s="273" t="s">
        <v>59</v>
      </c>
      <c r="G52" s="273"/>
      <c r="H52" s="273" t="s">
        <v>60</v>
      </c>
      <c r="I52" s="274"/>
      <c r="J52" s="274"/>
      <c r="K52" s="268" t="s">
        <v>16</v>
      </c>
      <c r="L52" s="268"/>
      <c r="M52" s="268"/>
      <c r="N52" s="275"/>
    </row>
    <row r="53" spans="1:14" x14ac:dyDescent="0.25">
      <c r="A53" s="314"/>
      <c r="B53" s="293" t="s">
        <v>5</v>
      </c>
      <c r="C53" s="381"/>
      <c r="D53" s="381"/>
      <c r="E53" s="294"/>
      <c r="F53" s="291"/>
      <c r="G53" s="291"/>
      <c r="H53" s="382">
        <f>E53*25</f>
        <v>0</v>
      </c>
      <c r="I53" s="278"/>
      <c r="J53" s="278"/>
      <c r="K53" s="295" t="s">
        <v>5</v>
      </c>
      <c r="L53" s="296"/>
      <c r="M53" s="297"/>
      <c r="N53" s="301"/>
    </row>
    <row r="54" spans="1:14" x14ac:dyDescent="0.25">
      <c r="A54" s="375">
        <v>1E-3</v>
      </c>
      <c r="B54" s="276" t="s">
        <v>29</v>
      </c>
      <c r="C54" s="379"/>
      <c r="D54" s="379"/>
      <c r="E54" s="350">
        <v>25</v>
      </c>
      <c r="F54" s="270">
        <f>E54*A54</f>
        <v>2.5000000000000001E-2</v>
      </c>
      <c r="G54" s="212"/>
      <c r="H54" s="383">
        <f>E54*1</f>
        <v>25</v>
      </c>
      <c r="I54" s="278"/>
      <c r="J54" s="278"/>
      <c r="K54" s="299" t="s">
        <v>29</v>
      </c>
      <c r="L54" s="300"/>
      <c r="M54" s="358">
        <f>$I$47/$I$46*E55</f>
        <v>40.333299722250231</v>
      </c>
      <c r="N54" s="302">
        <f>M54*D54</f>
        <v>0</v>
      </c>
    </row>
    <row r="55" spans="1:14" x14ac:dyDescent="0.25">
      <c r="A55" s="377">
        <v>1.7999999999999999E-2</v>
      </c>
      <c r="B55" s="276" t="s">
        <v>10</v>
      </c>
      <c r="C55" s="379">
        <v>140</v>
      </c>
      <c r="D55" s="379">
        <f>+C55/50</f>
        <v>2.8</v>
      </c>
      <c r="E55" s="338">
        <v>4</v>
      </c>
      <c r="F55" s="270">
        <f>A55*E55</f>
        <v>7.1999999999999995E-2</v>
      </c>
      <c r="G55" s="378">
        <f>E55*D55</f>
        <v>11.2</v>
      </c>
      <c r="H55" s="383">
        <f>E55*18</f>
        <v>72</v>
      </c>
      <c r="I55" s="274"/>
      <c r="J55" s="274"/>
      <c r="K55" s="299" t="s">
        <v>10</v>
      </c>
      <c r="L55" s="337"/>
      <c r="M55" s="358">
        <f>$I$47/$I$46*E56</f>
        <v>60.499949583375347</v>
      </c>
      <c r="N55" s="302">
        <f t="shared" ref="N55:N60" si="4">M55*D55</f>
        <v>169.39985883345096</v>
      </c>
    </row>
    <row r="56" spans="1:14" x14ac:dyDescent="0.25">
      <c r="A56" s="377">
        <v>1.7999999999999999E-2</v>
      </c>
      <c r="B56" s="276" t="s">
        <v>7</v>
      </c>
      <c r="C56" s="379">
        <v>176</v>
      </c>
      <c r="D56" s="379">
        <f t="shared" ref="D56:D60" si="5">+C56/50</f>
        <v>3.52</v>
      </c>
      <c r="E56" s="338">
        <v>6</v>
      </c>
      <c r="F56" s="270">
        <f>A56*E56</f>
        <v>0.10799999999999998</v>
      </c>
      <c r="G56" s="378">
        <f>E56*D56</f>
        <v>21.12</v>
      </c>
      <c r="H56" s="383">
        <f>E56*20</f>
        <v>120</v>
      </c>
      <c r="I56" s="274"/>
      <c r="J56" s="274"/>
      <c r="K56" s="298" t="s">
        <v>7</v>
      </c>
      <c r="L56" s="289"/>
      <c r="M56" s="358">
        <f>$I$47/$I$46*E56</f>
        <v>60.499949583375347</v>
      </c>
      <c r="N56" s="302">
        <f t="shared" si="4"/>
        <v>212.95982253348123</v>
      </c>
    </row>
    <row r="57" spans="1:14" x14ac:dyDescent="0.25">
      <c r="A57" s="376"/>
      <c r="B57" s="276" t="s">
        <v>6</v>
      </c>
      <c r="C57" s="379">
        <v>176</v>
      </c>
      <c r="D57" s="379">
        <f t="shared" si="5"/>
        <v>3.52</v>
      </c>
      <c r="E57" s="338"/>
      <c r="F57" s="270"/>
      <c r="G57" s="378"/>
      <c r="H57" s="383">
        <f>E57*25</f>
        <v>0</v>
      </c>
      <c r="I57" s="274"/>
      <c r="J57" s="274"/>
      <c r="K57" s="298" t="s">
        <v>6</v>
      </c>
      <c r="L57" s="289"/>
      <c r="M57" s="358">
        <f>$I$47/$I$46*E57</f>
        <v>0</v>
      </c>
      <c r="N57" s="302">
        <f>M57*D57</f>
        <v>0</v>
      </c>
    </row>
    <row r="58" spans="1:14" x14ac:dyDescent="0.25">
      <c r="A58" s="376">
        <v>3.3000000000000002E-2</v>
      </c>
      <c r="B58" s="276" t="s">
        <v>4</v>
      </c>
      <c r="C58" s="379">
        <v>33</v>
      </c>
      <c r="D58" s="379">
        <f>C58</f>
        <v>33</v>
      </c>
      <c r="E58" s="339">
        <v>1</v>
      </c>
      <c r="F58" s="270">
        <v>3.3000000000000002E-2</v>
      </c>
      <c r="G58" s="378">
        <f>E58*D58</f>
        <v>33</v>
      </c>
      <c r="H58" s="383">
        <f>+E58*40</f>
        <v>40</v>
      </c>
      <c r="I58" s="278"/>
      <c r="J58" s="278"/>
      <c r="K58" s="299" t="s">
        <v>4</v>
      </c>
      <c r="L58" s="300"/>
      <c r="M58" s="359">
        <f>$I$47/$I$46*E58</f>
        <v>10.083324930562558</v>
      </c>
      <c r="N58" s="302">
        <f t="shared" si="4"/>
        <v>332.74972270856443</v>
      </c>
    </row>
    <row r="59" spans="1:14" x14ac:dyDescent="0.25">
      <c r="A59" s="377">
        <v>1.7999999999999999E-2</v>
      </c>
      <c r="B59" s="276" t="s">
        <v>9</v>
      </c>
      <c r="C59" s="379">
        <v>176</v>
      </c>
      <c r="D59" s="379">
        <f t="shared" si="5"/>
        <v>3.52</v>
      </c>
      <c r="E59" s="338"/>
      <c r="F59" s="270">
        <f>E59*A59</f>
        <v>0</v>
      </c>
      <c r="G59" s="378">
        <f>E59*D59</f>
        <v>0</v>
      </c>
      <c r="H59" s="383">
        <f>E59*20</f>
        <v>0</v>
      </c>
      <c r="I59" s="274"/>
      <c r="J59" s="274"/>
      <c r="K59" s="299" t="s">
        <v>9</v>
      </c>
      <c r="L59" s="300"/>
      <c r="M59" s="358">
        <f>$I$47/$I$46*E60</f>
        <v>0</v>
      </c>
      <c r="N59" s="302">
        <f t="shared" si="4"/>
        <v>0</v>
      </c>
    </row>
    <row r="60" spans="1:14" x14ac:dyDescent="0.25">
      <c r="A60" s="377">
        <v>1.7999999999999999E-2</v>
      </c>
      <c r="B60" s="276" t="s">
        <v>8</v>
      </c>
      <c r="C60" s="379">
        <v>176</v>
      </c>
      <c r="D60" s="379">
        <f t="shared" si="5"/>
        <v>3.52</v>
      </c>
      <c r="E60" s="338"/>
      <c r="F60" s="270"/>
      <c r="G60" s="380"/>
      <c r="H60" s="383">
        <f>E60*25</f>
        <v>0</v>
      </c>
      <c r="I60" s="274"/>
      <c r="J60" s="274"/>
      <c r="K60" s="298" t="s">
        <v>8</v>
      </c>
      <c r="L60" s="289"/>
      <c r="M60" s="358">
        <f>$I$47/$I$46*E62</f>
        <v>0</v>
      </c>
      <c r="N60" s="302">
        <f t="shared" si="4"/>
        <v>0</v>
      </c>
    </row>
    <row r="61" spans="1:14" ht="15.75" thickBot="1" x14ac:dyDescent="0.3">
      <c r="A61" s="377"/>
      <c r="B61" s="292" t="s">
        <v>81</v>
      </c>
      <c r="C61" s="384">
        <v>10</v>
      </c>
      <c r="D61" s="384">
        <f>C61/12</f>
        <v>0.83333333333333337</v>
      </c>
      <c r="E61" s="385">
        <f>3*B47</f>
        <v>11.078519999999999</v>
      </c>
      <c r="F61" s="386">
        <f>B47</f>
        <v>3.6928399999999999</v>
      </c>
      <c r="G61" s="387">
        <f>C61/12</f>
        <v>0.83333333333333337</v>
      </c>
      <c r="H61" s="388">
        <f>D47</f>
        <v>1.20755868</v>
      </c>
      <c r="I61" s="274"/>
      <c r="J61" s="274"/>
      <c r="K61" s="298" t="s">
        <v>81</v>
      </c>
      <c r="L61" s="289"/>
      <c r="M61" s="389">
        <f>E61*I47</f>
        <v>121.86371999999999</v>
      </c>
      <c r="N61" s="302">
        <f>M61*G61</f>
        <v>101.55309999999999</v>
      </c>
    </row>
    <row r="62" spans="1:14" ht="15.75" thickBot="1" x14ac:dyDescent="0.3">
      <c r="A62" s="266"/>
      <c r="B62" s="298"/>
      <c r="C62" s="288"/>
      <c r="D62" s="288"/>
      <c r="E62" s="288"/>
      <c r="F62" s="287">
        <f>SUM(F53:F60)</f>
        <v>0.23799999999999999</v>
      </c>
      <c r="G62" s="357">
        <f>SUM(G53:G60)</f>
        <v>65.319999999999993</v>
      </c>
      <c r="H62" s="383">
        <f>SUM(H53:H61)</f>
        <v>258.20755867999998</v>
      </c>
      <c r="I62" s="278"/>
      <c r="J62" s="278"/>
      <c r="K62" s="310" t="s">
        <v>3</v>
      </c>
      <c r="L62" s="311"/>
      <c r="M62" s="311"/>
      <c r="N62" s="316">
        <f>C64*E64</f>
        <v>300</v>
      </c>
    </row>
    <row r="63" spans="1:14" x14ac:dyDescent="0.25">
      <c r="A63" s="266"/>
      <c r="B63" s="298"/>
      <c r="C63" s="288"/>
      <c r="D63" s="288"/>
      <c r="E63" s="288"/>
      <c r="F63" s="289"/>
      <c r="G63" s="289"/>
      <c r="H63" s="290"/>
      <c r="I63" s="278"/>
      <c r="J63" s="278"/>
      <c r="K63" s="288"/>
      <c r="L63" s="288"/>
      <c r="M63" s="289"/>
      <c r="N63" s="277"/>
    </row>
    <row r="64" spans="1:14" x14ac:dyDescent="0.25">
      <c r="A64" s="266"/>
      <c r="B64" s="317" t="s">
        <v>3</v>
      </c>
      <c r="C64" s="306">
        <v>100</v>
      </c>
      <c r="D64" s="306"/>
      <c r="E64" s="309">
        <v>3</v>
      </c>
      <c r="F64" s="305"/>
      <c r="G64" s="305"/>
      <c r="I64" s="278"/>
      <c r="J64" s="278"/>
      <c r="N64" s="318"/>
    </row>
    <row r="65" spans="1:14" x14ac:dyDescent="0.25">
      <c r="A65" s="266"/>
      <c r="B65" s="319" t="s">
        <v>32</v>
      </c>
      <c r="C65" s="308">
        <v>1</v>
      </c>
      <c r="D65" s="348"/>
      <c r="E65" s="303"/>
      <c r="I65" s="278"/>
      <c r="J65" s="278"/>
      <c r="K65" s="304"/>
      <c r="L65" s="17"/>
      <c r="M65" s="17"/>
      <c r="N65" s="320"/>
    </row>
    <row r="66" spans="1:14" x14ac:dyDescent="0.25">
      <c r="A66" s="266"/>
      <c r="B66" s="319" t="s">
        <v>2</v>
      </c>
      <c r="C66" s="307">
        <v>7.0000000000000007E-2</v>
      </c>
      <c r="D66" s="349"/>
      <c r="E66" s="303"/>
      <c r="I66" s="278"/>
      <c r="J66" s="278"/>
      <c r="K66" s="304"/>
      <c r="L66" s="17"/>
      <c r="M66" s="17"/>
      <c r="N66" s="321"/>
    </row>
    <row r="67" spans="1:14" x14ac:dyDescent="0.25">
      <c r="A67" s="266"/>
      <c r="B67" s="279"/>
      <c r="C67" s="268"/>
      <c r="D67" s="268"/>
      <c r="E67" s="268"/>
      <c r="K67" s="17"/>
      <c r="L67" s="17"/>
      <c r="M67" s="17"/>
      <c r="N67" s="322"/>
    </row>
    <row r="68" spans="1:14" x14ac:dyDescent="0.25">
      <c r="A68" s="266"/>
      <c r="B68" s="279"/>
      <c r="C68" s="268"/>
      <c r="D68" s="268"/>
      <c r="E68" s="268"/>
      <c r="K68" s="312"/>
      <c r="L68" s="313"/>
      <c r="M68" s="313"/>
      <c r="N68" s="323"/>
    </row>
    <row r="69" spans="1:14" x14ac:dyDescent="0.25">
      <c r="A69" s="266"/>
      <c r="B69" s="279"/>
      <c r="C69" s="268"/>
      <c r="D69" s="268"/>
      <c r="E69" s="268"/>
      <c r="K69" s="312"/>
      <c r="L69" s="313"/>
      <c r="M69" s="313"/>
      <c r="N69" s="323"/>
    </row>
    <row r="70" spans="1:14" ht="15.75" thickBot="1" x14ac:dyDescent="0.3">
      <c r="A70" s="266"/>
      <c r="B70" s="280"/>
      <c r="C70" s="23"/>
      <c r="D70" s="23"/>
      <c r="E70" s="23"/>
      <c r="F70" s="23"/>
      <c r="G70" s="23"/>
      <c r="H70" s="23"/>
      <c r="I70" s="281"/>
      <c r="J70" s="281"/>
      <c r="K70" s="282"/>
      <c r="L70" s="282"/>
      <c r="M70" s="282" t="s">
        <v>66</v>
      </c>
      <c r="N70" s="283"/>
    </row>
    <row r="71" spans="1:14" ht="15" customHeight="1" x14ac:dyDescent="0.25">
      <c r="A71" s="266"/>
      <c r="B71" s="740" t="s">
        <v>67</v>
      </c>
      <c r="C71" s="741"/>
      <c r="D71" s="741"/>
      <c r="E71" s="741"/>
      <c r="F71" s="741"/>
      <c r="G71" s="741"/>
      <c r="H71" s="742"/>
      <c r="I71" s="753">
        <f>SUM(N53:N63)</f>
        <v>1116.6625040754966</v>
      </c>
      <c r="J71" s="754"/>
      <c r="K71" s="754">
        <f>+I71/K51</f>
        <v>93.055208672958045</v>
      </c>
      <c r="L71" s="755"/>
      <c r="M71" s="749">
        <f>+I77*K51</f>
        <v>2401.4247399473047</v>
      </c>
      <c r="N71" s="750"/>
    </row>
    <row r="72" spans="1:14" ht="15.75" customHeight="1" thickBot="1" x14ac:dyDescent="0.3">
      <c r="A72" s="266"/>
      <c r="B72" s="743"/>
      <c r="C72" s="744"/>
      <c r="D72" s="744"/>
      <c r="E72" s="744"/>
      <c r="F72" s="744"/>
      <c r="G72" s="744"/>
      <c r="H72" s="745"/>
      <c r="I72" s="756"/>
      <c r="J72" s="757"/>
      <c r="K72" s="757"/>
      <c r="L72" s="758"/>
      <c r="M72" s="751"/>
      <c r="N72" s="686"/>
    </row>
    <row r="73" spans="1:14" ht="15" customHeight="1" x14ac:dyDescent="0.25">
      <c r="A73" s="266"/>
      <c r="B73" s="740" t="s">
        <v>32</v>
      </c>
      <c r="C73" s="741"/>
      <c r="D73" s="741"/>
      <c r="E73" s="741"/>
      <c r="F73" s="741"/>
      <c r="G73" s="741"/>
      <c r="H73" s="742"/>
      <c r="I73" s="753">
        <f>I71*C65</f>
        <v>1116.6625040754966</v>
      </c>
      <c r="J73" s="754"/>
      <c r="K73" s="754">
        <f>I73/K51</f>
        <v>93.055208672958045</v>
      </c>
      <c r="L73" s="755"/>
      <c r="M73" s="751"/>
      <c r="N73" s="686"/>
    </row>
    <row r="74" spans="1:14" ht="15.75" customHeight="1" thickBot="1" x14ac:dyDescent="0.3">
      <c r="A74" s="266"/>
      <c r="B74" s="743"/>
      <c r="C74" s="744"/>
      <c r="D74" s="744"/>
      <c r="E74" s="744"/>
      <c r="F74" s="744"/>
      <c r="G74" s="744"/>
      <c r="H74" s="745"/>
      <c r="I74" s="756"/>
      <c r="J74" s="757"/>
      <c r="K74" s="757"/>
      <c r="L74" s="758"/>
      <c r="M74" s="751"/>
      <c r="N74" s="686"/>
    </row>
    <row r="75" spans="1:14" ht="15" customHeight="1" x14ac:dyDescent="0.25">
      <c r="A75" s="266"/>
      <c r="B75" s="740" t="s">
        <v>2</v>
      </c>
      <c r="C75" s="741"/>
      <c r="D75" s="741"/>
      <c r="E75" s="741"/>
      <c r="F75" s="741"/>
      <c r="G75" s="741"/>
      <c r="H75" s="742"/>
      <c r="I75" s="753">
        <f>(I71+I73)/(100%-C66)*C66</f>
        <v>168.09973179631135</v>
      </c>
      <c r="J75" s="754"/>
      <c r="K75" s="754">
        <f>I75/K51</f>
        <v>14.008310983025945</v>
      </c>
      <c r="L75" s="755"/>
      <c r="M75" s="751"/>
      <c r="N75" s="686"/>
    </row>
    <row r="76" spans="1:14" ht="15.75" customHeight="1" thickBot="1" x14ac:dyDescent="0.3">
      <c r="A76" s="266"/>
      <c r="B76" s="743"/>
      <c r="C76" s="744"/>
      <c r="D76" s="744"/>
      <c r="E76" s="744"/>
      <c r="F76" s="744"/>
      <c r="G76" s="744"/>
      <c r="H76" s="745"/>
      <c r="I76" s="756"/>
      <c r="J76" s="757"/>
      <c r="K76" s="757"/>
      <c r="L76" s="758"/>
      <c r="M76" s="751"/>
      <c r="N76" s="686"/>
    </row>
    <row r="77" spans="1:14" ht="15" customHeight="1" x14ac:dyDescent="0.25">
      <c r="A77" s="266"/>
      <c r="B77" s="740" t="s">
        <v>0</v>
      </c>
      <c r="C77" s="741"/>
      <c r="D77" s="741"/>
      <c r="E77" s="741"/>
      <c r="F77" s="741"/>
      <c r="G77" s="741"/>
      <c r="H77" s="742"/>
      <c r="I77" s="753">
        <f>(I71+I73+I75)/K51</f>
        <v>200.11872832894207</v>
      </c>
      <c r="J77" s="754"/>
      <c r="K77" s="754"/>
      <c r="L77" s="755"/>
      <c r="M77" s="751"/>
      <c r="N77" s="686"/>
    </row>
    <row r="78" spans="1:14" ht="15.75" customHeight="1" thickBot="1" x14ac:dyDescent="0.3">
      <c r="A78" s="266"/>
      <c r="B78" s="743"/>
      <c r="C78" s="744"/>
      <c r="D78" s="744"/>
      <c r="E78" s="744"/>
      <c r="F78" s="744"/>
      <c r="G78" s="744"/>
      <c r="H78" s="745"/>
      <c r="I78" s="756"/>
      <c r="J78" s="757"/>
      <c r="K78" s="757"/>
      <c r="L78" s="758"/>
      <c r="M78" s="752"/>
      <c r="N78" s="687"/>
    </row>
    <row r="83" spans="9:9" x14ac:dyDescent="0.25">
      <c r="I83" s="252"/>
    </row>
  </sheetData>
  <mergeCells count="42">
    <mergeCell ref="B71:H72"/>
    <mergeCell ref="K51:N51"/>
    <mergeCell ref="M71:N78"/>
    <mergeCell ref="B73:H74"/>
    <mergeCell ref="B75:H76"/>
    <mergeCell ref="B77:H78"/>
    <mergeCell ref="I77:L78"/>
    <mergeCell ref="I75:J76"/>
    <mergeCell ref="K71:L72"/>
    <mergeCell ref="K73:L74"/>
    <mergeCell ref="K75:L76"/>
    <mergeCell ref="I71:J72"/>
    <mergeCell ref="I73:J74"/>
    <mergeCell ref="K50:N50"/>
    <mergeCell ref="A42:D42"/>
    <mergeCell ref="A28:K28"/>
    <mergeCell ref="A29:K29"/>
    <mergeCell ref="C31:E31"/>
    <mergeCell ref="F31:I31"/>
    <mergeCell ref="C33:E33"/>
    <mergeCell ref="F33:I33"/>
    <mergeCell ref="D43:D46"/>
    <mergeCell ref="C35:E35"/>
    <mergeCell ref="F35:I35"/>
    <mergeCell ref="C37:E37"/>
    <mergeCell ref="F37:I37"/>
    <mergeCell ref="O18:P21"/>
    <mergeCell ref="F21:H22"/>
    <mergeCell ref="I21:K22"/>
    <mergeCell ref="L19:M22"/>
    <mergeCell ref="A17:C17"/>
    <mergeCell ref="E17:F17"/>
    <mergeCell ref="A19:B19"/>
    <mergeCell ref="F19:H20"/>
    <mergeCell ref="I19:K20"/>
    <mergeCell ref="A16:C16"/>
    <mergeCell ref="E16:F16"/>
    <mergeCell ref="A1:K2"/>
    <mergeCell ref="A4:C5"/>
    <mergeCell ref="I4:K4"/>
    <mergeCell ref="I5:K5"/>
    <mergeCell ref="A7:C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1444-41AF-47A4-9AB9-8FACD3E58719}">
  <dimension ref="A1:K39"/>
  <sheetViews>
    <sheetView showGridLines="0" showZeros="0" tabSelected="1" view="pageBreakPreview" zoomScale="115" zoomScaleNormal="145" zoomScaleSheetLayoutView="115" workbookViewId="0">
      <selection activeCell="I25" sqref="A1:I28"/>
    </sheetView>
  </sheetViews>
  <sheetFormatPr defaultColWidth="23.7109375" defaultRowHeight="15" x14ac:dyDescent="0.25"/>
  <cols>
    <col min="1" max="1" width="13" style="266" bestFit="1" customWidth="1"/>
    <col min="2" max="2" width="18.28515625" style="1" bestFit="1" customWidth="1"/>
    <col min="3" max="3" width="9.7109375" style="1" bestFit="1" customWidth="1"/>
    <col min="4" max="4" width="5.85546875" style="1" bestFit="1" customWidth="1"/>
    <col min="5" max="5" width="12.7109375" style="1" bestFit="1" customWidth="1"/>
    <col min="6" max="6" width="16.85546875" style="1" bestFit="1" customWidth="1"/>
    <col min="7" max="7" width="10.5703125" style="1" bestFit="1" customWidth="1"/>
    <col min="8" max="8" width="10.42578125" style="1" bestFit="1" customWidth="1"/>
    <col min="9" max="9" width="20.5703125" style="1" customWidth="1"/>
    <col min="10" max="16384" width="23.7109375" style="1"/>
  </cols>
  <sheetData>
    <row r="1" spans="1:9" x14ac:dyDescent="0.25">
      <c r="A1" s="688" t="s">
        <v>96</v>
      </c>
      <c r="B1" s="689"/>
      <c r="C1" s="689"/>
      <c r="D1" s="689"/>
      <c r="E1" s="689"/>
      <c r="F1" s="689"/>
      <c r="G1" s="689"/>
      <c r="H1" s="689"/>
      <c r="I1" s="690"/>
    </row>
    <row r="2" spans="1:9" ht="15.75" thickBot="1" x14ac:dyDescent="0.3">
      <c r="A2" s="691"/>
      <c r="B2" s="692"/>
      <c r="C2" s="692"/>
      <c r="D2" s="692"/>
      <c r="E2" s="692"/>
      <c r="F2" s="692"/>
      <c r="G2" s="692"/>
      <c r="H2" s="692"/>
      <c r="I2" s="693"/>
    </row>
    <row r="3" spans="1:9" s="17" customFormat="1" ht="15.75" thickBot="1" x14ac:dyDescent="0.3">
      <c r="A3" s="22"/>
      <c r="B3" s="21"/>
      <c r="C3" s="21"/>
      <c r="D3" s="21"/>
      <c r="E3" s="21"/>
      <c r="F3" s="21"/>
      <c r="G3" s="21"/>
      <c r="H3" s="21"/>
      <c r="I3" s="20"/>
    </row>
    <row r="4" spans="1:9" x14ac:dyDescent="0.25">
      <c r="A4" s="694" t="s">
        <v>90</v>
      </c>
      <c r="B4" s="510" t="s">
        <v>88</v>
      </c>
      <c r="C4" s="535">
        <v>0.1</v>
      </c>
      <c r="E4" s="508"/>
      <c r="F4" s="697" t="s">
        <v>22</v>
      </c>
      <c r="G4" s="698"/>
      <c r="H4" s="698"/>
      <c r="I4" s="699"/>
    </row>
    <row r="5" spans="1:9" ht="15.75" thickBot="1" x14ac:dyDescent="0.3">
      <c r="A5" s="695"/>
      <c r="B5" t="s">
        <v>95</v>
      </c>
      <c r="C5" s="536">
        <v>0.2</v>
      </c>
      <c r="D5" s="346"/>
      <c r="E5" s="509"/>
      <c r="F5" s="700">
        <v>1000</v>
      </c>
      <c r="G5" s="701"/>
      <c r="H5" s="701"/>
      <c r="I5" s="702"/>
    </row>
    <row r="6" spans="1:9" ht="15.75" thickBot="1" x14ac:dyDescent="0.3">
      <c r="A6" s="696"/>
      <c r="B6" s="511" t="s">
        <v>89</v>
      </c>
      <c r="C6" s="537">
        <v>0.06</v>
      </c>
      <c r="E6" s="509"/>
      <c r="F6" s="703">
        <f>F5*50</f>
        <v>50000</v>
      </c>
      <c r="G6" s="704"/>
      <c r="H6" s="704"/>
      <c r="I6" s="705"/>
    </row>
    <row r="7" spans="1:9" ht="15.75" thickBot="1" x14ac:dyDescent="0.3">
      <c r="A7" s="512"/>
      <c r="B7"/>
      <c r="C7"/>
      <c r="D7" s="507"/>
      <c r="E7" s="509"/>
      <c r="F7" s="666">
        <f>F6*C28/C27</f>
        <v>23372.222222222223</v>
      </c>
      <c r="G7" s="667"/>
      <c r="H7" s="667"/>
      <c r="I7" s="668"/>
    </row>
    <row r="8" spans="1:9" ht="15.75" thickBot="1" x14ac:dyDescent="0.3">
      <c r="A8" s="66"/>
      <c r="B8" s="29"/>
      <c r="C8" s="29"/>
      <c r="D8" s="75"/>
      <c r="E8" s="13"/>
      <c r="F8" s="2"/>
      <c r="G8" s="2"/>
      <c r="H8" s="2"/>
      <c r="I8" s="14"/>
    </row>
    <row r="9" spans="1:9" ht="15.75" thickBot="1" x14ac:dyDescent="0.3">
      <c r="A9" s="706" t="s">
        <v>98</v>
      </c>
      <c r="B9" s="707"/>
      <c r="C9" s="546" t="s">
        <v>84</v>
      </c>
      <c r="D9" s="547" t="s">
        <v>99</v>
      </c>
      <c r="E9" s="13"/>
      <c r="F9" s="654" t="s">
        <v>103</v>
      </c>
      <c r="G9" s="655"/>
      <c r="H9" s="655"/>
      <c r="I9" s="656"/>
    </row>
    <row r="10" spans="1:9" x14ac:dyDescent="0.25">
      <c r="A10" s="540" t="s">
        <v>10</v>
      </c>
      <c r="B10" s="574">
        <v>6</v>
      </c>
      <c r="C10" s="548">
        <f>G10/50*B10</f>
        <v>15.600000000000001</v>
      </c>
      <c r="D10" s="549">
        <f t="shared" ref="D10:D17" si="0">C10/$C$18</f>
        <v>0.20600586324380005</v>
      </c>
      <c r="F10" s="538">
        <f>$F$7*D10/G10</f>
        <v>37.037037037037045</v>
      </c>
      <c r="G10" s="563">
        <v>130</v>
      </c>
      <c r="H10" s="669">
        <f t="shared" ref="H10:H16" si="1">F10*G10</f>
        <v>4814.8148148148157</v>
      </c>
      <c r="I10" s="670"/>
    </row>
    <row r="11" spans="1:9" x14ac:dyDescent="0.25">
      <c r="A11" s="541" t="s">
        <v>9</v>
      </c>
      <c r="B11" s="575">
        <v>5</v>
      </c>
      <c r="C11" s="550">
        <f>G11/50*B11</f>
        <v>18</v>
      </c>
      <c r="D11" s="551">
        <f t="shared" si="0"/>
        <v>0.23769907297361539</v>
      </c>
      <c r="F11" s="539">
        <f>$F$7*D11/G11</f>
        <v>30.8641975308642</v>
      </c>
      <c r="G11" s="564">
        <v>180</v>
      </c>
      <c r="H11" s="671">
        <f t="shared" si="1"/>
        <v>5555.5555555555557</v>
      </c>
      <c r="I11" s="672"/>
    </row>
    <row r="12" spans="1:9" x14ac:dyDescent="0.25">
      <c r="A12" s="542" t="s">
        <v>8</v>
      </c>
      <c r="B12" s="576"/>
      <c r="C12" s="550"/>
      <c r="D12" s="551">
        <f t="shared" si="0"/>
        <v>0</v>
      </c>
      <c r="F12" s="539"/>
      <c r="G12" s="564"/>
      <c r="H12" s="673">
        <f t="shared" si="1"/>
        <v>0</v>
      </c>
      <c r="I12" s="674"/>
    </row>
    <row r="13" spans="1:9" x14ac:dyDescent="0.25">
      <c r="A13" s="541" t="s">
        <v>7</v>
      </c>
      <c r="B13" s="575">
        <v>2</v>
      </c>
      <c r="C13" s="550">
        <f>G13/50*B13</f>
        <v>7.2</v>
      </c>
      <c r="D13" s="551">
        <f t="shared" si="0"/>
        <v>9.5079629189446166E-2</v>
      </c>
      <c r="F13" s="539">
        <f>$F$7*D13/G13</f>
        <v>12.345679012345679</v>
      </c>
      <c r="G13" s="564">
        <v>180</v>
      </c>
      <c r="H13" s="671">
        <f t="shared" si="1"/>
        <v>2222.2222222222222</v>
      </c>
      <c r="I13" s="672"/>
    </row>
    <row r="14" spans="1:9" x14ac:dyDescent="0.25">
      <c r="A14" s="542" t="s">
        <v>6</v>
      </c>
      <c r="B14" s="576"/>
      <c r="C14" s="550">
        <f>G14/50*B14</f>
        <v>0</v>
      </c>
      <c r="D14" s="551">
        <f t="shared" si="0"/>
        <v>0</v>
      </c>
      <c r="F14" s="539"/>
      <c r="G14" s="564"/>
      <c r="H14" s="673">
        <f t="shared" si="1"/>
        <v>0</v>
      </c>
      <c r="I14" s="674"/>
    </row>
    <row r="15" spans="1:9" x14ac:dyDescent="0.25">
      <c r="A15" s="543" t="s">
        <v>5</v>
      </c>
      <c r="B15" s="577">
        <v>0.09</v>
      </c>
      <c r="C15" s="550">
        <f>B15*G15</f>
        <v>1.026</v>
      </c>
      <c r="D15" s="551">
        <f t="shared" si="0"/>
        <v>1.3548847159496079E-2</v>
      </c>
      <c r="F15" s="556">
        <f>$F$7*D15/G15</f>
        <v>27.777777777777779</v>
      </c>
      <c r="G15" s="564">
        <v>11.4</v>
      </c>
      <c r="H15" s="671">
        <f t="shared" si="1"/>
        <v>316.66666666666669</v>
      </c>
      <c r="I15" s="672"/>
    </row>
    <row r="16" spans="1:9" ht="15.75" thickBot="1" x14ac:dyDescent="0.3">
      <c r="A16" s="569" t="s">
        <v>4</v>
      </c>
      <c r="B16" s="578">
        <v>1</v>
      </c>
      <c r="C16" s="550">
        <v>33.9</v>
      </c>
      <c r="D16" s="551">
        <f t="shared" si="0"/>
        <v>0.44766658743364235</v>
      </c>
      <c r="F16" s="570">
        <f>F7*D16/G16</f>
        <v>308.64197530864203</v>
      </c>
      <c r="G16" s="571">
        <v>33.9</v>
      </c>
      <c r="H16" s="675">
        <f t="shared" si="1"/>
        <v>10462.962962962965</v>
      </c>
      <c r="I16" s="676"/>
    </row>
    <row r="17" spans="1:11" ht="15.75" hidden="1" thickBot="1" x14ac:dyDescent="0.3">
      <c r="A17" s="544" t="s">
        <v>29</v>
      </c>
      <c r="B17" s="545"/>
      <c r="C17" s="552">
        <f>G17/50*B17</f>
        <v>0</v>
      </c>
      <c r="D17" s="553">
        <f t="shared" si="0"/>
        <v>0</v>
      </c>
      <c r="F17" s="527"/>
      <c r="G17" s="54"/>
      <c r="H17" s="54"/>
      <c r="I17" s="558"/>
    </row>
    <row r="18" spans="1:11" ht="15.75" thickBot="1" x14ac:dyDescent="0.3">
      <c r="A18" s="436"/>
      <c r="B18" s="516"/>
      <c r="C18" s="565">
        <f>SUM(C10:C17)</f>
        <v>75.725999999999999</v>
      </c>
      <c r="D18" s="566">
        <f>SUM(D10:D17)</f>
        <v>1</v>
      </c>
      <c r="F18" s="663" t="s">
        <v>102</v>
      </c>
      <c r="G18" s="664"/>
      <c r="H18" s="659">
        <f>SUM(H10:I17)</f>
        <v>23372.222222222226</v>
      </c>
      <c r="I18" s="660"/>
    </row>
    <row r="19" spans="1:11" ht="15.75" thickBot="1" x14ac:dyDescent="0.3">
      <c r="A19" s="436"/>
      <c r="B19" s="523"/>
      <c r="C19" s="81"/>
      <c r="D19" s="246"/>
      <c r="F19" s="555"/>
      <c r="G19" s="554"/>
      <c r="H19" s="657"/>
      <c r="I19" s="658"/>
    </row>
    <row r="20" spans="1:11" ht="15.75" thickBot="1" x14ac:dyDescent="0.3">
      <c r="A20" s="587" t="s">
        <v>20</v>
      </c>
      <c r="B20" s="588"/>
      <c r="C20" s="580">
        <v>4</v>
      </c>
      <c r="D20" s="246"/>
      <c r="F20" s="572">
        <f>F6/C23*C20</f>
        <v>107.52688172043011</v>
      </c>
      <c r="G20" s="573">
        <v>100</v>
      </c>
      <c r="H20" s="677">
        <f>F20*G20</f>
        <v>10752.688172043012</v>
      </c>
      <c r="I20" s="678"/>
    </row>
    <row r="21" spans="1:11" ht="15.75" thickBot="1" x14ac:dyDescent="0.3">
      <c r="D21" s="246"/>
      <c r="F21" s="663" t="s">
        <v>101</v>
      </c>
      <c r="G21" s="664"/>
      <c r="H21" s="659">
        <f>H20</f>
        <v>10752.688172043012</v>
      </c>
      <c r="I21" s="660"/>
      <c r="J21" s="562"/>
    </row>
    <row r="22" spans="1:11" ht="15.75" thickBot="1" x14ac:dyDescent="0.3">
      <c r="A22" s="63"/>
      <c r="D22" s="8"/>
      <c r="E22" s="4"/>
      <c r="F22" s="25"/>
      <c r="G22" s="6"/>
      <c r="H22" s="6"/>
      <c r="I22" s="9"/>
    </row>
    <row r="23" spans="1:11" ht="15" customHeight="1" thickBot="1" x14ac:dyDescent="0.3">
      <c r="A23" s="587" t="s">
        <v>21</v>
      </c>
      <c r="B23" s="588"/>
      <c r="C23" s="581">
        <f>620*3</f>
        <v>1860</v>
      </c>
      <c r="D23" s="8"/>
      <c r="E23" s="278"/>
      <c r="F23" s="853" t="s">
        <v>104</v>
      </c>
      <c r="G23" s="854"/>
      <c r="H23" s="856">
        <f>H18/F6</f>
        <v>0.46744444444444455</v>
      </c>
      <c r="I23" s="679" t="s">
        <v>66</v>
      </c>
    </row>
    <row r="24" spans="1:11" ht="15" customHeight="1" thickBot="1" x14ac:dyDescent="0.3">
      <c r="D24" s="568"/>
      <c r="F24" s="63" t="s">
        <v>105</v>
      </c>
      <c r="G24" s="855"/>
      <c r="H24" s="857">
        <f>H21/F6</f>
        <v>0.21505376344086025</v>
      </c>
      <c r="I24" s="680"/>
    </row>
    <row r="25" spans="1:11" ht="15" customHeight="1" thickBot="1" x14ac:dyDescent="0.3">
      <c r="D25" s="8"/>
      <c r="F25" s="858" t="s">
        <v>67</v>
      </c>
      <c r="G25" s="861">
        <f>SUM(H23:H24)</f>
        <v>0.6824982078853048</v>
      </c>
      <c r="H25" s="859"/>
      <c r="I25" s="686">
        <f>+G28*50</f>
        <v>66.47709817064657</v>
      </c>
    </row>
    <row r="26" spans="1:11" ht="15" customHeight="1" x14ac:dyDescent="0.25">
      <c r="A26" s="683" t="s">
        <v>97</v>
      </c>
      <c r="B26" s="684"/>
      <c r="C26" s="685"/>
      <c r="D26" s="268"/>
      <c r="F26" s="560" t="s">
        <v>32</v>
      </c>
      <c r="G26" s="860">
        <v>0.5</v>
      </c>
      <c r="H26" s="557">
        <f>+G25*G26</f>
        <v>0.3412491039426524</v>
      </c>
      <c r="I26" s="686"/>
      <c r="J26" s="252"/>
      <c r="K26" s="252">
        <f>+F6*H26</f>
        <v>17062.455197132618</v>
      </c>
    </row>
    <row r="27" spans="1:11" ht="15.75" x14ac:dyDescent="0.25">
      <c r="A27" s="681" t="s">
        <v>18</v>
      </c>
      <c r="B27" s="682"/>
      <c r="C27" s="579">
        <f>9*6*3</f>
        <v>162</v>
      </c>
      <c r="D27" s="268"/>
      <c r="F27" s="560" t="s">
        <v>2</v>
      </c>
      <c r="G27" s="559">
        <v>0.23</v>
      </c>
      <c r="H27" s="557">
        <f>(G25+H26)/(100%-G27)*G27</f>
        <v>0.30579465158497421</v>
      </c>
      <c r="I27" s="686"/>
    </row>
    <row r="28" spans="1:11" ht="16.5" thickBot="1" x14ac:dyDescent="0.3">
      <c r="A28" s="613" t="s">
        <v>100</v>
      </c>
      <c r="B28" s="665"/>
      <c r="C28" s="567">
        <f>C18</f>
        <v>75.725999999999999</v>
      </c>
      <c r="D28" s="23"/>
      <c r="E28" s="282"/>
      <c r="F28" s="561" t="s">
        <v>0</v>
      </c>
      <c r="G28" s="661">
        <f>G25+H26+H27</f>
        <v>1.3295419634129315</v>
      </c>
      <c r="H28" s="662"/>
      <c r="I28" s="687"/>
    </row>
    <row r="29" spans="1:11" x14ac:dyDescent="0.25">
      <c r="B29" s="268"/>
      <c r="C29" s="268"/>
      <c r="D29" s="268"/>
    </row>
    <row r="30" spans="1:11" x14ac:dyDescent="0.25">
      <c r="B30" s="268"/>
      <c r="C30" s="268"/>
      <c r="D30" s="268"/>
    </row>
    <row r="31" spans="1:11" x14ac:dyDescent="0.25">
      <c r="B31" s="268"/>
      <c r="C31" s="268"/>
      <c r="D31" s="268"/>
    </row>
    <row r="32" spans="1:11" x14ac:dyDescent="0.25">
      <c r="B32" s="268"/>
      <c r="C32" s="268"/>
      <c r="D32" s="268"/>
    </row>
    <row r="33" spans="2:9" ht="15" customHeight="1" x14ac:dyDescent="0.25"/>
    <row r="34" spans="2:9" ht="15" customHeight="1" x14ac:dyDescent="0.25"/>
    <row r="35" spans="2:9" ht="15" customHeight="1" x14ac:dyDescent="0.25"/>
    <row r="36" spans="2:9" ht="15" customHeight="1" x14ac:dyDescent="0.25"/>
    <row r="37" spans="2:9" x14ac:dyDescent="0.25">
      <c r="B37" s="268"/>
      <c r="C37" s="268"/>
      <c r="D37" s="268"/>
      <c r="G37" s="278"/>
      <c r="H37" s="278"/>
      <c r="I37" s="267"/>
    </row>
    <row r="38" spans="2:9" x14ac:dyDescent="0.25">
      <c r="I38" s="267"/>
    </row>
    <row r="39" spans="2:9" x14ac:dyDescent="0.25">
      <c r="I39" s="284"/>
    </row>
  </sheetData>
  <sortState xmlns:xlrd2="http://schemas.microsoft.com/office/spreadsheetml/2017/richdata2" ref="B20:C21">
    <sortCondition ref="B21"/>
  </sortState>
  <mergeCells count="30">
    <mergeCell ref="A9:B9"/>
    <mergeCell ref="A20:B20"/>
    <mergeCell ref="A1:I2"/>
    <mergeCell ref="A4:A6"/>
    <mergeCell ref="F4:I4"/>
    <mergeCell ref="F5:I5"/>
    <mergeCell ref="F6:I6"/>
    <mergeCell ref="A23:B23"/>
    <mergeCell ref="A28:B28"/>
    <mergeCell ref="F7:I7"/>
    <mergeCell ref="H10:I10"/>
    <mergeCell ref="H11:I11"/>
    <mergeCell ref="H12:I12"/>
    <mergeCell ref="H13:I13"/>
    <mergeCell ref="H14:I14"/>
    <mergeCell ref="H15:I15"/>
    <mergeCell ref="H16:I16"/>
    <mergeCell ref="H20:I20"/>
    <mergeCell ref="I23:I24"/>
    <mergeCell ref="G25:H25"/>
    <mergeCell ref="A27:B27"/>
    <mergeCell ref="A26:C26"/>
    <mergeCell ref="I25:I28"/>
    <mergeCell ref="F9:I9"/>
    <mergeCell ref="H19:I19"/>
    <mergeCell ref="H21:I21"/>
    <mergeCell ref="H18:I18"/>
    <mergeCell ref="G28:H28"/>
    <mergeCell ref="F18:G18"/>
    <mergeCell ref="F21:G21"/>
  </mergeCells>
  <pageMargins left="0.511811024" right="0.511811024" top="0.78740157499999996" bottom="0.78740157499999996" header="0.31496062000000002" footer="0.31496062000000002"/>
  <pageSetup paperSize="9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34E0-63D9-483A-B808-8DAB27D9629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57B-804F-45AA-9BDD-DAA8EC544B53}">
  <dimension ref="A1:S33"/>
  <sheetViews>
    <sheetView showGridLines="0" showZeros="0" zoomScale="115" zoomScaleNormal="115" zoomScaleSheetLayoutView="130" workbookViewId="0">
      <selection activeCell="D13" sqref="D13"/>
    </sheetView>
  </sheetViews>
  <sheetFormatPr defaultRowHeight="15" x14ac:dyDescent="0.25"/>
  <cols>
    <col min="1" max="1" width="13.140625" style="97" bestFit="1" customWidth="1"/>
    <col min="2" max="2" width="14.140625" style="97" bestFit="1" customWidth="1"/>
    <col min="3" max="3" width="8.85546875" style="97" bestFit="1" customWidth="1"/>
    <col min="4" max="4" width="14.140625" style="97" bestFit="1" customWidth="1"/>
    <col min="5" max="5" width="16.140625" style="97" bestFit="1" customWidth="1"/>
    <col min="6" max="6" width="11.5703125" style="97" bestFit="1" customWidth="1"/>
    <col min="7" max="7" width="6.85546875" style="97" bestFit="1" customWidth="1"/>
    <col min="8" max="8" width="7.7109375" style="97" bestFit="1" customWidth="1"/>
    <col min="9" max="9" width="11" style="97" bestFit="1" customWidth="1"/>
    <col min="10" max="10" width="10.85546875" style="97" bestFit="1" customWidth="1"/>
    <col min="11" max="11" width="15.28515625" style="97" bestFit="1" customWidth="1"/>
    <col min="12" max="12" width="12.42578125" style="111" bestFit="1" customWidth="1"/>
    <col min="13" max="13" width="10" style="111" bestFit="1" customWidth="1"/>
    <col min="14" max="14" width="13.5703125" style="111" customWidth="1"/>
    <col min="15" max="15" width="10.5703125" style="97" bestFit="1" customWidth="1"/>
    <col min="16" max="16" width="11.5703125" style="97" bestFit="1" customWidth="1"/>
    <col min="17" max="17" width="4.85546875" style="97" bestFit="1" customWidth="1"/>
    <col min="18" max="18" width="7.5703125" style="97" bestFit="1" customWidth="1"/>
    <col min="19" max="19" width="11" style="97" bestFit="1" customWidth="1"/>
    <col min="20" max="16384" width="9.140625" style="97"/>
  </cols>
  <sheetData>
    <row r="1" spans="1:19" x14ac:dyDescent="0.25">
      <c r="A1" s="760" t="s">
        <v>25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197"/>
      <c r="M1" s="197"/>
      <c r="N1" s="197"/>
      <c r="O1" s="98" t="s">
        <v>10</v>
      </c>
      <c r="P1" s="99">
        <v>110</v>
      </c>
      <c r="Q1" s="100" t="s">
        <v>33</v>
      </c>
      <c r="R1" s="101">
        <v>50</v>
      </c>
      <c r="S1" s="102">
        <f>P1/R1</f>
        <v>2.2000000000000002</v>
      </c>
    </row>
    <row r="2" spans="1:19" ht="15.75" thickBot="1" x14ac:dyDescent="0.3">
      <c r="A2" s="762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197"/>
      <c r="M2" s="197"/>
      <c r="N2" s="197"/>
      <c r="O2" s="103" t="s">
        <v>9</v>
      </c>
      <c r="P2" s="104">
        <v>170</v>
      </c>
      <c r="Q2" s="105" t="s">
        <v>33</v>
      </c>
      <c r="R2" s="106">
        <v>50</v>
      </c>
      <c r="S2" s="107">
        <f t="shared" ref="S2:S5" si="0">P2/R2</f>
        <v>3.4</v>
      </c>
    </row>
    <row r="3" spans="1:19" s="111" customFormat="1" ht="15.75" thickBot="1" x14ac:dyDescent="0.3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98" t="s">
        <v>8</v>
      </c>
      <c r="P3" s="99">
        <v>170</v>
      </c>
      <c r="Q3" s="100" t="s">
        <v>33</v>
      </c>
      <c r="R3" s="101">
        <v>50</v>
      </c>
      <c r="S3" s="102">
        <f t="shared" si="0"/>
        <v>3.4</v>
      </c>
    </row>
    <row r="4" spans="1:19" x14ac:dyDescent="0.25">
      <c r="A4" s="784" t="s">
        <v>12</v>
      </c>
      <c r="B4" s="786" t="s">
        <v>34</v>
      </c>
      <c r="C4" s="787"/>
      <c r="D4" s="171" t="s">
        <v>11</v>
      </c>
      <c r="E4" s="169" t="s">
        <v>38</v>
      </c>
      <c r="F4" s="172" t="s">
        <v>39</v>
      </c>
      <c r="I4" s="113"/>
      <c r="J4" s="114"/>
      <c r="K4" s="114"/>
      <c r="L4" s="120"/>
      <c r="M4" s="120"/>
      <c r="N4" s="120"/>
      <c r="O4" s="103" t="s">
        <v>7</v>
      </c>
      <c r="P4" s="104">
        <v>170</v>
      </c>
      <c r="Q4" s="105" t="s">
        <v>33</v>
      </c>
      <c r="R4" s="106">
        <v>50</v>
      </c>
      <c r="S4" s="107">
        <f t="shared" si="0"/>
        <v>3.4</v>
      </c>
    </row>
    <row r="5" spans="1:19" ht="15.75" thickBot="1" x14ac:dyDescent="0.3">
      <c r="A5" s="785"/>
      <c r="B5" s="788">
        <v>1</v>
      </c>
      <c r="C5" s="789"/>
      <c r="D5" s="173">
        <f>D20/C9</f>
        <v>4.916595744680851E-3</v>
      </c>
      <c r="E5" s="170">
        <f>K22/J9</f>
        <v>0.28762737478411055</v>
      </c>
      <c r="F5" s="174">
        <f>E5*50</f>
        <v>14.381368739205527</v>
      </c>
      <c r="I5" s="115"/>
      <c r="O5" s="98" t="s">
        <v>6</v>
      </c>
      <c r="P5" s="99">
        <v>170</v>
      </c>
      <c r="Q5" s="100" t="s">
        <v>33</v>
      </c>
      <c r="R5" s="101">
        <v>50</v>
      </c>
      <c r="S5" s="102">
        <f t="shared" si="0"/>
        <v>3.4</v>
      </c>
    </row>
    <row r="6" spans="1:19" x14ac:dyDescent="0.25">
      <c r="A6" s="116"/>
      <c r="B6" s="112"/>
      <c r="C6" s="112"/>
      <c r="D6" s="112"/>
      <c r="E6" s="112"/>
      <c r="F6" s="112"/>
      <c r="G6" s="114"/>
      <c r="H6" s="96"/>
      <c r="I6" s="117"/>
      <c r="O6" s="103" t="s">
        <v>5</v>
      </c>
      <c r="P6" s="104">
        <v>1750</v>
      </c>
      <c r="Q6" s="105"/>
      <c r="R6" s="204">
        <f>200*1000</f>
        <v>200000</v>
      </c>
      <c r="S6" s="203">
        <f>P6/R6</f>
        <v>8.7500000000000008E-3</v>
      </c>
    </row>
    <row r="7" spans="1:19" x14ac:dyDescent="0.25">
      <c r="A7" s="116"/>
      <c r="B7" s="179"/>
      <c r="C7" s="112"/>
      <c r="D7" s="112"/>
      <c r="E7" s="112"/>
      <c r="F7" s="112"/>
      <c r="G7" s="114"/>
      <c r="H7" s="96"/>
      <c r="I7" s="117"/>
      <c r="J7" s="118"/>
      <c r="K7" s="119"/>
      <c r="L7" s="119"/>
      <c r="M7" s="119"/>
      <c r="N7" s="119"/>
      <c r="O7" s="98"/>
      <c r="P7" s="99"/>
      <c r="Q7" s="100"/>
      <c r="R7" s="101"/>
      <c r="S7" s="102"/>
    </row>
    <row r="8" spans="1:19" ht="15.75" thickBot="1" x14ac:dyDescent="0.3">
      <c r="A8" s="116"/>
      <c r="B8" s="112"/>
      <c r="C8" s="112"/>
      <c r="D8" s="112"/>
      <c r="E8" s="112"/>
      <c r="F8" s="112"/>
      <c r="G8" s="202"/>
      <c r="H8" s="110"/>
      <c r="I8" s="117"/>
      <c r="J8" s="118"/>
      <c r="K8" s="119"/>
      <c r="L8" s="119"/>
      <c r="M8" s="119"/>
      <c r="N8" s="119"/>
      <c r="O8" s="103"/>
      <c r="P8" s="104"/>
      <c r="Q8" s="105"/>
      <c r="R8" s="106"/>
      <c r="S8" s="107"/>
    </row>
    <row r="9" spans="1:19" ht="15.75" thickBot="1" x14ac:dyDescent="0.3">
      <c r="A9" s="181" t="s">
        <v>19</v>
      </c>
      <c r="B9" s="182">
        <f>D20/C9</f>
        <v>4.916595744680851E-3</v>
      </c>
      <c r="C9" s="183">
        <v>94</v>
      </c>
      <c r="D9" s="112"/>
      <c r="E9" s="112"/>
      <c r="F9" s="121"/>
      <c r="G9" s="121"/>
      <c r="H9" s="111"/>
      <c r="I9" s="123" t="s">
        <v>36</v>
      </c>
      <c r="J9" s="180">
        <f>K9*50</f>
        <v>23160</v>
      </c>
      <c r="K9" s="176">
        <f>B25/50</f>
        <v>463.2</v>
      </c>
      <c r="L9" s="206">
        <f>K22/K9</f>
        <v>14.381368739205527</v>
      </c>
      <c r="M9" s="119"/>
      <c r="N9" s="119"/>
      <c r="O9" s="98" t="s">
        <v>4</v>
      </c>
      <c r="P9" s="99">
        <v>33</v>
      </c>
      <c r="Q9" s="100"/>
      <c r="R9" s="205">
        <v>40</v>
      </c>
      <c r="S9" s="102">
        <f>P9/R9</f>
        <v>0.82499999999999996</v>
      </c>
    </row>
    <row r="10" spans="1:19" x14ac:dyDescent="0.25">
      <c r="A10" s="126"/>
      <c r="B10" s="122"/>
      <c r="C10" s="122"/>
      <c r="D10" s="122"/>
      <c r="E10" s="122"/>
      <c r="F10" s="122"/>
      <c r="G10" s="122"/>
      <c r="H10" s="111"/>
      <c r="I10" s="123" t="s">
        <v>26</v>
      </c>
      <c r="J10" s="124">
        <f>J9/C9</f>
        <v>246.38297872340425</v>
      </c>
      <c r="K10" s="125"/>
      <c r="L10" s="119"/>
      <c r="M10" s="119"/>
      <c r="N10" s="119"/>
      <c r="O10" s="103"/>
      <c r="P10" s="104"/>
      <c r="Q10" s="105"/>
      <c r="R10" s="106"/>
      <c r="S10" s="107"/>
    </row>
    <row r="11" spans="1:19" x14ac:dyDescent="0.25">
      <c r="A11" s="126"/>
      <c r="B11" s="122"/>
      <c r="C11" s="122"/>
      <c r="D11" s="122"/>
      <c r="E11" s="122"/>
      <c r="F11" s="122"/>
      <c r="G11" s="122"/>
      <c r="H11" s="111"/>
      <c r="I11" s="117"/>
      <c r="L11" s="119"/>
      <c r="M11" s="119"/>
      <c r="N11" s="119"/>
      <c r="O11" s="98"/>
      <c r="P11" s="99"/>
      <c r="Q11" s="100"/>
      <c r="R11" s="101"/>
      <c r="S11" s="102"/>
    </row>
    <row r="12" spans="1:19" ht="15.75" thickBot="1" x14ac:dyDescent="0.3">
      <c r="A12" s="126"/>
      <c r="B12" s="122"/>
      <c r="C12" s="122"/>
      <c r="E12" s="122" t="s">
        <v>35</v>
      </c>
      <c r="F12" s="122">
        <f>20*0.02</f>
        <v>0.4</v>
      </c>
      <c r="G12" s="122"/>
      <c r="H12" s="111"/>
      <c r="I12" s="117"/>
      <c r="L12" s="119"/>
      <c r="M12" s="119"/>
      <c r="N12" s="119"/>
      <c r="O12" s="103"/>
      <c r="P12" s="104"/>
      <c r="Q12" s="105"/>
      <c r="R12" s="106"/>
      <c r="S12" s="107"/>
    </row>
    <row r="13" spans="1:19" ht="15.75" thickBot="1" x14ac:dyDescent="0.3">
      <c r="A13" s="127" t="s">
        <v>10</v>
      </c>
      <c r="B13" s="184">
        <v>8</v>
      </c>
      <c r="C13" s="128">
        <v>0.02</v>
      </c>
      <c r="D13" s="128">
        <f>B13*C13</f>
        <v>0.16</v>
      </c>
      <c r="E13" s="129">
        <f>B13*S1</f>
        <v>17.600000000000001</v>
      </c>
      <c r="F13" s="130"/>
      <c r="G13" s="130"/>
      <c r="H13" s="111"/>
      <c r="I13" s="131" t="s">
        <v>10</v>
      </c>
      <c r="J13" s="191">
        <f>B13/50</f>
        <v>0.16</v>
      </c>
      <c r="K13" s="193">
        <f>J13*P1</f>
        <v>17.600000000000001</v>
      </c>
      <c r="L13" s="198"/>
      <c r="M13" s="198"/>
      <c r="N13" s="198"/>
      <c r="O13" s="98" t="s">
        <v>27</v>
      </c>
      <c r="P13" s="99">
        <v>150</v>
      </c>
      <c r="Q13" s="100"/>
      <c r="R13" s="101">
        <v>1</v>
      </c>
      <c r="S13" s="102">
        <f>+P13*R13</f>
        <v>150</v>
      </c>
    </row>
    <row r="14" spans="1:19" x14ac:dyDescent="0.25">
      <c r="A14" s="132" t="s">
        <v>9</v>
      </c>
      <c r="B14" s="185">
        <v>12</v>
      </c>
      <c r="C14" s="187">
        <v>0.02</v>
      </c>
      <c r="D14" s="133">
        <f>B14*C14</f>
        <v>0.24</v>
      </c>
      <c r="E14" s="134">
        <f>B14*S2</f>
        <v>40.799999999999997</v>
      </c>
      <c r="F14" s="130"/>
      <c r="G14" s="130"/>
      <c r="H14" s="111"/>
      <c r="I14" s="135" t="s">
        <v>9</v>
      </c>
      <c r="J14" s="191">
        <f>B14/50</f>
        <v>0.24</v>
      </c>
      <c r="K14" s="194">
        <f>J14*P2</f>
        <v>40.799999999999997</v>
      </c>
      <c r="L14" s="199"/>
      <c r="M14" s="199"/>
      <c r="N14" s="199"/>
    </row>
    <row r="15" spans="1:19" x14ac:dyDescent="0.25">
      <c r="A15" s="132" t="s">
        <v>8</v>
      </c>
      <c r="B15" s="185"/>
      <c r="C15" s="133"/>
      <c r="D15" s="133"/>
      <c r="E15" s="134">
        <f t="shared" ref="E15:E17" si="1">B15*S3</f>
        <v>0</v>
      </c>
      <c r="F15" s="130"/>
      <c r="G15" s="130"/>
      <c r="H15" s="111"/>
      <c r="I15" s="135" t="s">
        <v>8</v>
      </c>
      <c r="J15" s="189">
        <f t="shared" ref="J15:J17" si="2">$J$10*B15</f>
        <v>0</v>
      </c>
      <c r="K15" s="195"/>
    </row>
    <row r="16" spans="1:19" x14ac:dyDescent="0.25">
      <c r="A16" s="132" t="s">
        <v>7</v>
      </c>
      <c r="B16" s="185"/>
      <c r="C16" s="133"/>
      <c r="D16" s="133"/>
      <c r="E16" s="134">
        <f t="shared" si="1"/>
        <v>0</v>
      </c>
      <c r="F16" s="130"/>
      <c r="G16" s="130"/>
      <c r="H16" s="111"/>
      <c r="I16" s="135" t="s">
        <v>7</v>
      </c>
      <c r="J16" s="189">
        <f t="shared" si="2"/>
        <v>0</v>
      </c>
      <c r="K16" s="195"/>
    </row>
    <row r="17" spans="1:17" x14ac:dyDescent="0.25">
      <c r="A17" s="132" t="s">
        <v>6</v>
      </c>
      <c r="B17" s="185"/>
      <c r="C17" s="133"/>
      <c r="D17" s="133"/>
      <c r="E17" s="134">
        <f t="shared" si="1"/>
        <v>0</v>
      </c>
      <c r="F17" s="130"/>
      <c r="G17" s="130"/>
      <c r="H17" s="111"/>
      <c r="I17" s="135" t="s">
        <v>6</v>
      </c>
      <c r="J17" s="189">
        <f t="shared" si="2"/>
        <v>0</v>
      </c>
      <c r="K17" s="195"/>
    </row>
    <row r="18" spans="1:17" x14ac:dyDescent="0.25">
      <c r="A18" s="136" t="s">
        <v>5</v>
      </c>
      <c r="B18" s="186">
        <v>160</v>
      </c>
      <c r="C18" s="137"/>
      <c r="D18" s="133">
        <f>B18/1000000</f>
        <v>1.6000000000000001E-4</v>
      </c>
      <c r="E18" s="134">
        <f>B18*S6</f>
        <v>1.4000000000000001</v>
      </c>
      <c r="F18" s="130"/>
      <c r="G18" s="130"/>
      <c r="H18" s="111"/>
      <c r="I18" s="138" t="s">
        <v>5</v>
      </c>
      <c r="J18" s="192">
        <f>B18</f>
        <v>160</v>
      </c>
      <c r="K18" s="194">
        <f>J18*S6</f>
        <v>1.4000000000000001</v>
      </c>
      <c r="L18" s="199"/>
      <c r="M18" s="199"/>
      <c r="N18" s="199"/>
    </row>
    <row r="19" spans="1:17" ht="15.75" thickBot="1" x14ac:dyDescent="0.3">
      <c r="A19" s="139" t="s">
        <v>4</v>
      </c>
      <c r="B19" s="205">
        <v>2</v>
      </c>
      <c r="C19" s="140">
        <v>3.1E-2</v>
      </c>
      <c r="D19" s="140">
        <f>B19*C19</f>
        <v>6.2E-2</v>
      </c>
      <c r="E19" s="141">
        <f>B19*S9</f>
        <v>1.65</v>
      </c>
      <c r="F19" s="130"/>
      <c r="G19" s="130"/>
      <c r="H19" s="111"/>
      <c r="I19" s="135" t="s">
        <v>4</v>
      </c>
      <c r="J19" s="205">
        <f>B19</f>
        <v>2</v>
      </c>
      <c r="K19" s="194">
        <f>J19*S9</f>
        <v>1.65</v>
      </c>
      <c r="L19" s="199"/>
      <c r="M19" s="199"/>
      <c r="N19" s="199"/>
    </row>
    <row r="20" spans="1:17" ht="15.75" thickBot="1" x14ac:dyDescent="0.3">
      <c r="B20" s="142"/>
      <c r="C20" s="142"/>
      <c r="D20" s="143">
        <f>SUM(D13:D19)</f>
        <v>0.46216000000000002</v>
      </c>
      <c r="E20" s="144">
        <f>SUM(E13:E19)</f>
        <v>61.449999999999996</v>
      </c>
      <c r="F20" s="188"/>
      <c r="G20" s="145"/>
      <c r="H20" s="111"/>
      <c r="I20" s="146" t="s">
        <v>37</v>
      </c>
      <c r="J20" s="190">
        <f>S13*B24/B25</f>
        <v>0.28497409326424872</v>
      </c>
      <c r="K20" s="194">
        <f>J9*J20</f>
        <v>6600</v>
      </c>
      <c r="L20" s="759"/>
      <c r="M20" s="199"/>
      <c r="N20" s="199"/>
    </row>
    <row r="21" spans="1:17" ht="15.75" thickBot="1" x14ac:dyDescent="0.3">
      <c r="B21" s="147"/>
      <c r="C21" s="147"/>
      <c r="D21" s="147"/>
      <c r="E21" s="148"/>
      <c r="F21" s="148"/>
      <c r="G21" s="149"/>
      <c r="I21" s="150" t="s">
        <v>32</v>
      </c>
      <c r="J21" s="151">
        <f>D26*K9</f>
        <v>0</v>
      </c>
      <c r="K21" s="196">
        <f>+J9*J21</f>
        <v>0</v>
      </c>
      <c r="L21" s="759"/>
      <c r="M21" s="199"/>
      <c r="N21" s="199"/>
    </row>
    <row r="22" spans="1:17" ht="15.75" thickBot="1" x14ac:dyDescent="0.3">
      <c r="I22" s="152"/>
      <c r="J22" s="153"/>
      <c r="K22" s="207">
        <f>SUM(K13:K21)</f>
        <v>6661.45</v>
      </c>
      <c r="L22" s="154"/>
      <c r="M22" s="154"/>
      <c r="N22" s="154"/>
      <c r="Q22" s="177"/>
    </row>
    <row r="23" spans="1:17" ht="18.75" x14ac:dyDescent="0.3">
      <c r="A23" s="770" t="s">
        <v>31</v>
      </c>
      <c r="B23" s="771"/>
      <c r="C23" s="771"/>
      <c r="D23" s="772"/>
      <c r="H23" s="155"/>
      <c r="I23" s="111"/>
      <c r="J23" s="156"/>
      <c r="K23" s="154"/>
      <c r="L23" s="154"/>
      <c r="M23" s="154"/>
      <c r="N23" s="154"/>
      <c r="O23" s="165"/>
      <c r="Q23" s="177"/>
    </row>
    <row r="24" spans="1:17" x14ac:dyDescent="0.25">
      <c r="A24" s="157" t="s">
        <v>20</v>
      </c>
      <c r="B24" s="158">
        <v>44</v>
      </c>
      <c r="C24" s="159">
        <v>150</v>
      </c>
      <c r="D24" s="782">
        <f>B24*C24/B25</f>
        <v>0.28497409326424872</v>
      </c>
      <c r="E24" s="792"/>
      <c r="F24" s="165"/>
      <c r="I24" s="111"/>
      <c r="J24" s="111"/>
      <c r="K24" s="111"/>
    </row>
    <row r="25" spans="1:17" ht="15.75" thickBot="1" x14ac:dyDescent="0.3">
      <c r="A25" s="157" t="s">
        <v>21</v>
      </c>
      <c r="B25" s="790">
        <v>23160</v>
      </c>
      <c r="C25" s="791"/>
      <c r="D25" s="783"/>
      <c r="E25" s="792"/>
    </row>
    <row r="26" spans="1:17" x14ac:dyDescent="0.25">
      <c r="A26" s="157" t="s">
        <v>28</v>
      </c>
      <c r="B26" s="776">
        <v>0</v>
      </c>
      <c r="C26" s="777"/>
      <c r="D26" s="773"/>
      <c r="I26" s="764" t="s">
        <v>40</v>
      </c>
      <c r="J26" s="765"/>
      <c r="K26" s="766"/>
      <c r="L26" s="110"/>
      <c r="M26" s="110"/>
      <c r="N26" s="110"/>
    </row>
    <row r="27" spans="1:17" ht="15.75" thickBot="1" x14ac:dyDescent="0.3">
      <c r="A27" s="157" t="s">
        <v>29</v>
      </c>
      <c r="B27" s="778"/>
      <c r="C27" s="779"/>
      <c r="D27" s="774"/>
      <c r="E27" s="165"/>
      <c r="F27" s="160"/>
      <c r="I27" s="767">
        <f>J9/B25</f>
        <v>1</v>
      </c>
      <c r="J27" s="768"/>
      <c r="K27" s="769"/>
      <c r="L27" s="200"/>
      <c r="M27" s="200"/>
      <c r="N27" s="201"/>
      <c r="Q27" s="178"/>
    </row>
    <row r="28" spans="1:17" x14ac:dyDescent="0.25">
      <c r="A28" s="161" t="s">
        <v>30</v>
      </c>
      <c r="B28" s="778"/>
      <c r="C28" s="779"/>
      <c r="D28" s="774"/>
      <c r="F28" s="162"/>
      <c r="G28" s="163"/>
    </row>
    <row r="29" spans="1:17" ht="15.75" thickBot="1" x14ac:dyDescent="0.3">
      <c r="A29" s="164" t="s">
        <v>32</v>
      </c>
      <c r="B29" s="780"/>
      <c r="C29" s="781"/>
      <c r="D29" s="775"/>
      <c r="E29" s="165"/>
      <c r="F29" s="165"/>
      <c r="G29" s="166"/>
    </row>
    <row r="30" spans="1:17" x14ac:dyDescent="0.25">
      <c r="D30" s="175">
        <f>B25/50*D26</f>
        <v>0</v>
      </c>
      <c r="E30" s="167">
        <f>+D30*50</f>
        <v>0</v>
      </c>
      <c r="H30" s="165"/>
      <c r="I30" s="168"/>
    </row>
    <row r="33" spans="4:4" x14ac:dyDescent="0.25">
      <c r="D33" s="97">
        <f>+B25/50</f>
        <v>463.2</v>
      </c>
    </row>
  </sheetData>
  <mergeCells count="13">
    <mergeCell ref="L20:L21"/>
    <mergeCell ref="A1:K2"/>
    <mergeCell ref="I26:K26"/>
    <mergeCell ref="I27:K27"/>
    <mergeCell ref="A23:D23"/>
    <mergeCell ref="D26:D29"/>
    <mergeCell ref="B26:C29"/>
    <mergeCell ref="D24:D25"/>
    <mergeCell ref="A4:A5"/>
    <mergeCell ref="B4:C4"/>
    <mergeCell ref="B5:C5"/>
    <mergeCell ref="B25:C25"/>
    <mergeCell ref="E24:E25"/>
  </mergeCells>
  <pageMargins left="0.51181102362204722" right="0.51181102362204722" top="0.78740157480314965" bottom="0.78740157480314965" header="0.31496062992125984" footer="0.31496062992125984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96DA-F527-43EE-95E3-D64D104050C7}">
  <dimension ref="A1:K30"/>
  <sheetViews>
    <sheetView showGridLines="0" workbookViewId="0">
      <selection activeCell="Q9" sqref="Q9"/>
    </sheetView>
  </sheetViews>
  <sheetFormatPr defaultRowHeight="15" x14ac:dyDescent="0.25"/>
  <cols>
    <col min="1" max="1" width="20.5703125" style="1" bestFit="1" customWidth="1"/>
    <col min="2" max="2" width="7" style="1" bestFit="1" customWidth="1"/>
    <col min="3" max="3" width="9.85546875" style="1" bestFit="1" customWidth="1"/>
    <col min="4" max="4" width="7.5703125" style="1" bestFit="1" customWidth="1"/>
    <col min="5" max="5" width="10.85546875" style="1" bestFit="1" customWidth="1"/>
    <col min="6" max="6" width="9.140625" style="1"/>
    <col min="7" max="7" width="9.7109375" style="1" bestFit="1" customWidth="1"/>
    <col min="8" max="8" width="10.5703125" style="1" bestFit="1" customWidth="1"/>
    <col min="9" max="10" width="12.28515625" style="1" bestFit="1" customWidth="1"/>
    <col min="11" max="11" width="7.85546875" style="1" bestFit="1" customWidth="1"/>
    <col min="12" max="16384" width="9.140625" style="1"/>
  </cols>
  <sheetData>
    <row r="1" spans="1:11" x14ac:dyDescent="0.25">
      <c r="A1" s="798" t="s">
        <v>46</v>
      </c>
      <c r="B1" s="799"/>
      <c r="C1" s="799"/>
      <c r="D1" s="799"/>
      <c r="E1" s="799"/>
      <c r="F1" s="799"/>
      <c r="G1" s="799"/>
      <c r="H1" s="799"/>
      <c r="I1" s="799"/>
      <c r="J1" s="799"/>
      <c r="K1" s="800"/>
    </row>
    <row r="2" spans="1:11" ht="18" customHeight="1" thickBot="1" x14ac:dyDescent="0.3">
      <c r="A2" s="801"/>
      <c r="B2" s="802"/>
      <c r="C2" s="802"/>
      <c r="D2" s="802"/>
      <c r="E2" s="802"/>
      <c r="F2" s="802"/>
      <c r="G2" s="802"/>
      <c r="H2" s="802"/>
      <c r="I2" s="802"/>
      <c r="J2" s="802"/>
      <c r="K2" s="803"/>
    </row>
    <row r="3" spans="1:11" s="17" customFormat="1" ht="18" customHeight="1" thickBot="1" x14ac:dyDescent="0.3">
      <c r="A3" s="228"/>
      <c r="B3" s="21"/>
      <c r="C3" s="21"/>
      <c r="D3" s="21"/>
      <c r="E3" s="21"/>
      <c r="F3" s="21"/>
      <c r="G3" s="21"/>
      <c r="H3" s="21"/>
      <c r="I3" s="21"/>
      <c r="J3" s="19"/>
      <c r="K3" s="229"/>
    </row>
    <row r="4" spans="1:11" x14ac:dyDescent="0.25">
      <c r="A4" s="820" t="s">
        <v>23</v>
      </c>
      <c r="B4" s="597"/>
      <c r="C4" s="597"/>
      <c r="D4" s="818" t="s">
        <v>12</v>
      </c>
      <c r="E4" s="819"/>
      <c r="F4" s="16"/>
      <c r="H4" s="600" t="s">
        <v>22</v>
      </c>
      <c r="I4" s="601"/>
      <c r="J4" s="602"/>
      <c r="K4" s="230"/>
    </row>
    <row r="5" spans="1:11" ht="15.75" thickBot="1" x14ac:dyDescent="0.3">
      <c r="A5" s="821"/>
      <c r="B5" s="599"/>
      <c r="C5" s="599"/>
      <c r="D5" s="816">
        <v>1</v>
      </c>
      <c r="E5" s="817"/>
      <c r="F5" s="13"/>
      <c r="H5" s="822">
        <v>2163</v>
      </c>
      <c r="I5" s="823"/>
      <c r="J5" s="824"/>
      <c r="K5" s="231"/>
    </row>
    <row r="6" spans="1:11" ht="15.75" thickBot="1" x14ac:dyDescent="0.3">
      <c r="A6" s="232"/>
      <c r="B6" s="29"/>
      <c r="C6" s="29"/>
      <c r="D6" s="75"/>
      <c r="E6" s="76"/>
      <c r="F6" s="13"/>
      <c r="H6" s="825">
        <v>10</v>
      </c>
      <c r="I6" s="826"/>
      <c r="J6" s="827"/>
      <c r="K6" s="231"/>
    </row>
    <row r="7" spans="1:11" ht="15.75" thickBot="1" x14ac:dyDescent="0.3">
      <c r="A7" s="813" t="s">
        <v>19</v>
      </c>
      <c r="B7" s="814"/>
      <c r="C7" s="814"/>
      <c r="D7" s="814"/>
      <c r="E7" s="815"/>
      <c r="F7" s="13"/>
      <c r="G7" s="2"/>
      <c r="H7" s="2"/>
      <c r="I7" s="3"/>
      <c r="J7" s="3"/>
      <c r="K7" s="231"/>
    </row>
    <row r="8" spans="1:11" s="24" customFormat="1" x14ac:dyDescent="0.25">
      <c r="A8" s="42" t="s">
        <v>10</v>
      </c>
      <c r="B8" s="87">
        <v>8</v>
      </c>
      <c r="C8" s="44">
        <f>B8*(1/50)</f>
        <v>0.16</v>
      </c>
      <c r="D8" s="84">
        <f t="shared" ref="D8:D14" si="0">C8/$C$23</f>
        <v>0.36968576709796669</v>
      </c>
      <c r="E8" s="248"/>
      <c r="F8" s="45"/>
      <c r="H8" s="209">
        <f>$H$6*B8</f>
        <v>80</v>
      </c>
      <c r="I8" s="47">
        <v>140</v>
      </c>
      <c r="J8" s="48">
        <f>I8/50*H8</f>
        <v>224</v>
      </c>
      <c r="K8" s="233"/>
    </row>
    <row r="9" spans="1:11" x14ac:dyDescent="0.25">
      <c r="A9" s="31" t="s">
        <v>9</v>
      </c>
      <c r="B9" s="88">
        <v>12</v>
      </c>
      <c r="C9" s="33">
        <f>B9*(1/50)</f>
        <v>0.24</v>
      </c>
      <c r="D9" s="85">
        <f t="shared" si="0"/>
        <v>0.55452865064695001</v>
      </c>
      <c r="E9" s="249"/>
      <c r="F9" s="13"/>
      <c r="H9" s="213">
        <f>$H$6*B9</f>
        <v>120</v>
      </c>
      <c r="I9" s="11">
        <v>180</v>
      </c>
      <c r="J9" s="55">
        <f>(I9/50)*H9</f>
        <v>432</v>
      </c>
      <c r="K9" s="234"/>
    </row>
    <row r="10" spans="1:11" s="24" customFormat="1" x14ac:dyDescent="0.25">
      <c r="A10" s="42" t="s">
        <v>8</v>
      </c>
      <c r="B10" s="87">
        <v>0</v>
      </c>
      <c r="C10" s="52"/>
      <c r="D10" s="84">
        <f t="shared" si="0"/>
        <v>0</v>
      </c>
      <c r="E10" s="248"/>
      <c r="F10" s="45"/>
      <c r="H10" s="53"/>
      <c r="I10" s="54">
        <v>0</v>
      </c>
      <c r="J10" s="55">
        <f t="shared" ref="J10:J14" si="1">H10*I10</f>
        <v>0</v>
      </c>
      <c r="K10" s="235"/>
    </row>
    <row r="11" spans="1:11" x14ac:dyDescent="0.25">
      <c r="A11" s="31" t="s">
        <v>7</v>
      </c>
      <c r="B11" s="88">
        <v>0</v>
      </c>
      <c r="C11" s="34"/>
      <c r="D11" s="85">
        <f t="shared" si="0"/>
        <v>0</v>
      </c>
      <c r="E11" s="249"/>
      <c r="F11" s="45"/>
      <c r="H11" s="37"/>
      <c r="I11" s="11">
        <v>0</v>
      </c>
      <c r="J11" s="9">
        <f t="shared" si="1"/>
        <v>0</v>
      </c>
      <c r="K11" s="231"/>
    </row>
    <row r="12" spans="1:11" s="24" customFormat="1" x14ac:dyDescent="0.25">
      <c r="A12" s="42" t="s">
        <v>6</v>
      </c>
      <c r="B12" s="87">
        <v>0</v>
      </c>
      <c r="C12" s="52"/>
      <c r="D12" s="84">
        <f t="shared" si="0"/>
        <v>0</v>
      </c>
      <c r="E12" s="248"/>
      <c r="F12" s="45"/>
      <c r="H12" s="53"/>
      <c r="I12" s="54">
        <v>0</v>
      </c>
      <c r="J12" s="55">
        <f t="shared" si="1"/>
        <v>0</v>
      </c>
      <c r="K12" s="235"/>
    </row>
    <row r="13" spans="1:11" x14ac:dyDescent="0.25">
      <c r="A13" s="35" t="s">
        <v>5</v>
      </c>
      <c r="B13" s="422">
        <v>80</v>
      </c>
      <c r="C13" s="33">
        <f>B13*(0.00001/1)</f>
        <v>8.0000000000000004E-4</v>
      </c>
      <c r="D13" s="85">
        <f>C13/C23</f>
        <v>1.8484288354898334E-3</v>
      </c>
      <c r="E13" s="249"/>
      <c r="F13" s="45"/>
      <c r="H13" s="214">
        <f>B13*H6</f>
        <v>800</v>
      </c>
      <c r="I13" s="11">
        <f>462/50</f>
        <v>9.24</v>
      </c>
      <c r="J13" s="9">
        <f>H13*I13/1000</f>
        <v>7.3920000000000003</v>
      </c>
      <c r="K13" s="235"/>
    </row>
    <row r="14" spans="1:11" s="24" customFormat="1" ht="15.75" thickBot="1" x14ac:dyDescent="0.3">
      <c r="A14" s="56" t="s">
        <v>4</v>
      </c>
      <c r="B14" s="90">
        <v>1</v>
      </c>
      <c r="C14" s="58">
        <f>B14*(0.032/1)</f>
        <v>3.2000000000000001E-2</v>
      </c>
      <c r="D14" s="250">
        <f t="shared" si="0"/>
        <v>7.3937153419593338E-2</v>
      </c>
      <c r="E14" s="251"/>
      <c r="F14" s="45"/>
      <c r="H14" s="215">
        <f>D17/43</f>
        <v>50.302325581395351</v>
      </c>
      <c r="I14" s="216">
        <v>32.9</v>
      </c>
      <c r="J14" s="217">
        <f t="shared" si="1"/>
        <v>1654.9465116279071</v>
      </c>
      <c r="K14" s="235"/>
    </row>
    <row r="15" spans="1:11" s="24" customFormat="1" ht="15.75" thickBot="1" x14ac:dyDescent="0.3">
      <c r="A15" s="236"/>
      <c r="B15" s="80"/>
      <c r="C15" s="227"/>
      <c r="D15" s="246"/>
      <c r="E15" s="247"/>
      <c r="F15" s="45"/>
      <c r="H15" s="218"/>
      <c r="I15" s="219"/>
      <c r="K15" s="257"/>
    </row>
    <row r="16" spans="1:11" ht="15.75" thickBot="1" x14ac:dyDescent="0.3">
      <c r="A16" s="582" t="s">
        <v>20</v>
      </c>
      <c r="B16" s="583"/>
      <c r="C16" s="584"/>
      <c r="D16" s="585">
        <v>18</v>
      </c>
      <c r="E16" s="586"/>
      <c r="F16" s="4"/>
      <c r="H16" s="220">
        <f>H5/D17</f>
        <v>1</v>
      </c>
      <c r="I16" s="421">
        <v>81.818181818181813</v>
      </c>
      <c r="J16" s="222">
        <f>(D16*I16)*H16</f>
        <v>1472.7272727272725</v>
      </c>
      <c r="K16" s="253"/>
    </row>
    <row r="17" spans="1:11" ht="15.75" thickBot="1" x14ac:dyDescent="0.3">
      <c r="A17" s="587" t="s">
        <v>21</v>
      </c>
      <c r="B17" s="588"/>
      <c r="C17" s="589"/>
      <c r="D17" s="795">
        <v>2163</v>
      </c>
      <c r="E17" s="796"/>
      <c r="F17" s="4"/>
      <c r="H17" s="223" t="s">
        <v>2</v>
      </c>
      <c r="I17" s="10">
        <v>0</v>
      </c>
      <c r="J17" s="9">
        <f>H25*I17</f>
        <v>0</v>
      </c>
      <c r="K17" s="254"/>
    </row>
    <row r="18" spans="1:11" ht="15.75" thickBot="1" x14ac:dyDescent="0.3">
      <c r="A18" s="237"/>
      <c r="F18" s="4"/>
      <c r="H18" s="223" t="s">
        <v>45</v>
      </c>
      <c r="I18" s="423">
        <v>0</v>
      </c>
      <c r="J18" s="9">
        <f>D20*I18</f>
        <v>0</v>
      </c>
      <c r="K18" s="253"/>
    </row>
    <row r="19" spans="1:11" ht="15.75" thickBot="1" x14ac:dyDescent="0.3">
      <c r="A19" s="806" t="s">
        <v>41</v>
      </c>
      <c r="B19" s="807"/>
      <c r="C19" s="807"/>
      <c r="D19" s="807"/>
      <c r="E19" s="808"/>
      <c r="F19" s="4"/>
      <c r="G19" s="25"/>
      <c r="H19" s="39" t="s">
        <v>84</v>
      </c>
      <c r="I19" s="40">
        <v>0</v>
      </c>
      <c r="J19" s="41">
        <f>D21*I19</f>
        <v>0</v>
      </c>
      <c r="K19" s="231"/>
    </row>
    <row r="20" spans="1:11" x14ac:dyDescent="0.25">
      <c r="A20" s="12" t="s">
        <v>42</v>
      </c>
      <c r="B20" s="212" t="s">
        <v>44</v>
      </c>
      <c r="C20" s="211" t="s">
        <v>43</v>
      </c>
      <c r="D20" s="809">
        <f>A21/B21*C21</f>
        <v>0</v>
      </c>
      <c r="E20" s="810"/>
      <c r="F20" s="4"/>
      <c r="G20" s="25"/>
      <c r="H20" s="224"/>
      <c r="I20" s="225"/>
      <c r="J20" s="3"/>
      <c r="K20" s="231"/>
    </row>
    <row r="21" spans="1:11" ht="15.75" thickBot="1" x14ac:dyDescent="0.3">
      <c r="A21" s="243">
        <v>0</v>
      </c>
      <c r="B21" s="244">
        <v>3</v>
      </c>
      <c r="C21" s="245">
        <v>6.15</v>
      </c>
      <c r="D21" s="811"/>
      <c r="E21" s="812"/>
      <c r="F21" s="4"/>
      <c r="G21" s="25"/>
      <c r="H21" s="224"/>
      <c r="I21" s="225"/>
      <c r="J21" s="3"/>
      <c r="K21" s="231"/>
    </row>
    <row r="22" spans="1:11" ht="15.75" thickBot="1" x14ac:dyDescent="0.3">
      <c r="A22" s="237"/>
      <c r="D22" s="8"/>
      <c r="E22" s="7"/>
      <c r="F22" s="4"/>
      <c r="G22" s="25"/>
      <c r="H22" s="6"/>
      <c r="I22" s="226"/>
      <c r="J22" s="3"/>
      <c r="K22" s="231"/>
    </row>
    <row r="23" spans="1:11" ht="15" customHeight="1" x14ac:dyDescent="0.25">
      <c r="A23" s="797" t="s">
        <v>17</v>
      </c>
      <c r="B23" s="612"/>
      <c r="C23" s="26">
        <f>SUM(C8:C14)</f>
        <v>0.43280000000000007</v>
      </c>
      <c r="D23" s="8"/>
      <c r="F23" s="600" t="s">
        <v>1</v>
      </c>
      <c r="G23" s="602"/>
      <c r="H23" s="834">
        <f>SUM(J8:J18)/H5</f>
        <v>1.7526887583704018</v>
      </c>
      <c r="I23" s="835"/>
      <c r="J23" s="828">
        <f>(H25*H5)-(H23*H5)</f>
        <v>5942.4342156448211</v>
      </c>
      <c r="K23" s="829"/>
    </row>
    <row r="24" spans="1:11" ht="15.75" customHeight="1" thickBot="1" x14ac:dyDescent="0.3">
      <c r="A24" s="804" t="s">
        <v>18</v>
      </c>
      <c r="B24" s="805"/>
      <c r="C24" s="91">
        <f>D17/H6</f>
        <v>216.3</v>
      </c>
      <c r="D24" s="265">
        <f>C23/C24</f>
        <v>2.0009246417013408E-3</v>
      </c>
      <c r="F24" s="613"/>
      <c r="G24" s="614"/>
      <c r="H24" s="836"/>
      <c r="I24" s="837"/>
      <c r="J24" s="830"/>
      <c r="K24" s="831"/>
    </row>
    <row r="25" spans="1:11" ht="15" customHeight="1" x14ac:dyDescent="0.25">
      <c r="A25" s="238"/>
      <c r="B25" s="2"/>
      <c r="C25" s="2"/>
      <c r="D25" s="8"/>
      <c r="F25" s="600" t="s">
        <v>0</v>
      </c>
      <c r="G25" s="602"/>
      <c r="H25" s="627">
        <v>4.5</v>
      </c>
      <c r="I25" s="629"/>
      <c r="J25" s="830"/>
      <c r="K25" s="831"/>
    </row>
    <row r="26" spans="1:11" ht="15.75" customHeight="1" thickBot="1" x14ac:dyDescent="0.3">
      <c r="A26" s="239"/>
      <c r="B26" s="240"/>
      <c r="C26" s="241"/>
      <c r="D26" s="240"/>
      <c r="E26" s="242"/>
      <c r="F26" s="793"/>
      <c r="G26" s="794"/>
      <c r="H26" s="838"/>
      <c r="I26" s="839"/>
      <c r="J26" s="832"/>
      <c r="K26" s="833"/>
    </row>
    <row r="27" spans="1:11" ht="15.75" thickTop="1" x14ac:dyDescent="0.25"/>
    <row r="28" spans="1:11" x14ac:dyDescent="0.25">
      <c r="I28" s="255"/>
      <c r="J28" s="255"/>
    </row>
    <row r="30" spans="1:11" x14ac:dyDescent="0.25">
      <c r="E30" s="252"/>
    </row>
  </sheetData>
  <mergeCells count="21">
    <mergeCell ref="A1:K2"/>
    <mergeCell ref="A16:C16"/>
    <mergeCell ref="D16:E16"/>
    <mergeCell ref="A24:B24"/>
    <mergeCell ref="A19:E19"/>
    <mergeCell ref="D20:E21"/>
    <mergeCell ref="A7:E7"/>
    <mergeCell ref="D5:E5"/>
    <mergeCell ref="D4:E4"/>
    <mergeCell ref="A4:C5"/>
    <mergeCell ref="H4:J4"/>
    <mergeCell ref="H5:J5"/>
    <mergeCell ref="H6:J6"/>
    <mergeCell ref="J23:K26"/>
    <mergeCell ref="H23:I24"/>
    <mergeCell ref="H25:I26"/>
    <mergeCell ref="F25:G26"/>
    <mergeCell ref="A17:C17"/>
    <mergeCell ref="D17:E17"/>
    <mergeCell ref="A23:B23"/>
    <mergeCell ref="F23:G2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D3C0-4752-477B-BCCE-4D1CBBC3F8C5}">
  <dimension ref="A1:M30"/>
  <sheetViews>
    <sheetView showGridLines="0" showZeros="0" zoomScale="115" zoomScaleNormal="115" workbookViewId="0">
      <selection sqref="A1:XFD1048576"/>
    </sheetView>
  </sheetViews>
  <sheetFormatPr defaultRowHeight="15" x14ac:dyDescent="0.25"/>
  <cols>
    <col min="1" max="1" width="20.5703125" style="1" bestFit="1" customWidth="1"/>
    <col min="2" max="2" width="7" style="1" bestFit="1" customWidth="1"/>
    <col min="3" max="3" width="9.85546875" style="1" bestFit="1" customWidth="1"/>
    <col min="4" max="4" width="7.5703125" style="1" bestFit="1" customWidth="1"/>
    <col min="5" max="5" width="10.85546875" style="1" bestFit="1" customWidth="1"/>
    <col min="6" max="6" width="9.140625" style="1"/>
    <col min="7" max="7" width="9.7109375" style="1" bestFit="1" customWidth="1"/>
    <col min="8" max="8" width="10.5703125" style="1" bestFit="1" customWidth="1"/>
    <col min="9" max="10" width="12.28515625" style="1" bestFit="1" customWidth="1"/>
    <col min="11" max="11" width="7.85546875" style="1" bestFit="1" customWidth="1"/>
    <col min="12" max="12" width="9.85546875" style="1" bestFit="1" customWidth="1"/>
    <col min="13" max="13" width="11.85546875" style="1" bestFit="1" customWidth="1"/>
    <col min="14" max="16384" width="9.140625" style="1"/>
  </cols>
  <sheetData>
    <row r="1" spans="1:13" x14ac:dyDescent="0.25">
      <c r="A1" s="798" t="s">
        <v>56</v>
      </c>
      <c r="B1" s="799"/>
      <c r="C1" s="799"/>
      <c r="D1" s="799"/>
      <c r="E1" s="799"/>
      <c r="F1" s="799"/>
      <c r="G1" s="799"/>
      <c r="H1" s="799"/>
      <c r="I1" s="799"/>
      <c r="J1" s="799"/>
      <c r="K1" s="800"/>
      <c r="L1" s="2"/>
      <c r="M1" s="2"/>
    </row>
    <row r="2" spans="1:13" ht="18" customHeight="1" thickBot="1" x14ac:dyDescent="0.3">
      <c r="A2" s="801"/>
      <c r="B2" s="802"/>
      <c r="C2" s="802"/>
      <c r="D2" s="802"/>
      <c r="E2" s="802"/>
      <c r="F2" s="802"/>
      <c r="G2" s="802"/>
      <c r="H2" s="802"/>
      <c r="I2" s="802"/>
      <c r="J2" s="802"/>
      <c r="K2" s="803"/>
      <c r="L2" s="2"/>
      <c r="M2" s="2"/>
    </row>
    <row r="3" spans="1:13" s="17" customFormat="1" ht="18" customHeight="1" thickBot="1" x14ac:dyDescent="0.3">
      <c r="A3" s="228"/>
      <c r="B3" s="21"/>
      <c r="C3" s="21"/>
      <c r="D3" s="21"/>
      <c r="E3" s="21"/>
      <c r="F3" s="21"/>
      <c r="G3" s="21"/>
      <c r="H3" s="21"/>
      <c r="I3" s="21"/>
      <c r="J3" s="19"/>
      <c r="K3" s="229"/>
      <c r="L3" s="18"/>
      <c r="M3" s="18"/>
    </row>
    <row r="4" spans="1:13" x14ac:dyDescent="0.25">
      <c r="A4" s="820" t="s">
        <v>23</v>
      </c>
      <c r="B4" s="597"/>
      <c r="C4" s="597"/>
      <c r="D4" s="818" t="s">
        <v>12</v>
      </c>
      <c r="E4" s="819"/>
      <c r="F4" s="16"/>
      <c r="H4" s="600" t="s">
        <v>22</v>
      </c>
      <c r="I4" s="601"/>
      <c r="J4" s="602"/>
      <c r="K4" s="230"/>
      <c r="L4" s="2"/>
      <c r="M4" s="2"/>
    </row>
    <row r="5" spans="1:13" ht="15.75" thickBot="1" x14ac:dyDescent="0.3">
      <c r="A5" s="821"/>
      <c r="B5" s="599"/>
      <c r="C5" s="599"/>
      <c r="D5" s="816">
        <v>1</v>
      </c>
      <c r="E5" s="817"/>
      <c r="F5" s="13"/>
      <c r="H5" s="603">
        <v>720</v>
      </c>
      <c r="I5" s="604"/>
      <c r="J5" s="605"/>
      <c r="K5" s="231"/>
      <c r="L5" s="2"/>
      <c r="M5" s="2"/>
    </row>
    <row r="6" spans="1:13" ht="15.75" thickBot="1" x14ac:dyDescent="0.3">
      <c r="A6" s="232"/>
      <c r="B6" s="29"/>
      <c r="C6" s="29"/>
      <c r="D6" s="75"/>
      <c r="E6" s="76"/>
      <c r="F6" s="13"/>
      <c r="H6" s="840">
        <f>H5/C24</f>
        <v>24.506466984343092</v>
      </c>
      <c r="I6" s="841"/>
      <c r="J6" s="842"/>
      <c r="K6" s="231"/>
      <c r="L6" s="2"/>
      <c r="M6" s="2"/>
    </row>
    <row r="7" spans="1:13" ht="15.75" thickBot="1" x14ac:dyDescent="0.3">
      <c r="A7" s="843" t="s">
        <v>19</v>
      </c>
      <c r="B7" s="844"/>
      <c r="C7" s="844"/>
      <c r="D7" s="844"/>
      <c r="E7" s="845"/>
      <c r="F7" s="13"/>
      <c r="G7" s="2"/>
      <c r="H7" s="2"/>
      <c r="I7" s="3"/>
      <c r="J7" s="3"/>
      <c r="K7" s="231"/>
      <c r="L7" s="2"/>
      <c r="M7" s="2"/>
    </row>
    <row r="8" spans="1:13" s="24" customFormat="1" x14ac:dyDescent="0.25">
      <c r="A8" s="42" t="s">
        <v>10</v>
      </c>
      <c r="B8" s="87">
        <v>8</v>
      </c>
      <c r="C8" s="44">
        <f>B8*(1/50)</f>
        <v>0.16</v>
      </c>
      <c r="D8" s="84">
        <f t="shared" ref="D8:D14" si="0">C8/$C$23</f>
        <v>0.31201248049921998</v>
      </c>
      <c r="E8" s="248"/>
      <c r="F8" s="45"/>
      <c r="H8" s="209">
        <f>$H$6*B8</f>
        <v>196.05173587474474</v>
      </c>
      <c r="I8" s="47">
        <v>110</v>
      </c>
      <c r="J8" s="48">
        <f>I8/50*H8</f>
        <v>431.31381892443846</v>
      </c>
      <c r="K8" s="233"/>
      <c r="L8" s="51"/>
    </row>
    <row r="9" spans="1:13" x14ac:dyDescent="0.25">
      <c r="A9" s="31" t="s">
        <v>9</v>
      </c>
      <c r="B9" s="88">
        <v>16</v>
      </c>
      <c r="C9" s="33">
        <f>B9*(1/50)</f>
        <v>0.32</v>
      </c>
      <c r="D9" s="85">
        <f t="shared" si="0"/>
        <v>0.62402496099843996</v>
      </c>
      <c r="E9" s="249"/>
      <c r="F9" s="13"/>
      <c r="H9" s="213">
        <f>$H$6*B9</f>
        <v>392.10347174948947</v>
      </c>
      <c r="I9" s="11">
        <v>170</v>
      </c>
      <c r="J9" s="55">
        <f>(I9/50)*H9</f>
        <v>1333.1518039482642</v>
      </c>
      <c r="K9" s="234"/>
      <c r="L9" s="2"/>
    </row>
    <row r="10" spans="1:13" s="24" customFormat="1" x14ac:dyDescent="0.25">
      <c r="A10" s="42" t="s">
        <v>8</v>
      </c>
      <c r="B10" s="87">
        <v>0</v>
      </c>
      <c r="C10" s="52"/>
      <c r="D10" s="84">
        <f t="shared" si="0"/>
        <v>0</v>
      </c>
      <c r="E10" s="248"/>
      <c r="F10" s="45"/>
      <c r="H10" s="53"/>
      <c r="I10" s="54">
        <v>170</v>
      </c>
      <c r="J10" s="55">
        <f t="shared" ref="J10:J14" si="1">H10*I10</f>
        <v>0</v>
      </c>
      <c r="K10" s="235"/>
      <c r="L10" s="51"/>
    </row>
    <row r="11" spans="1:13" x14ac:dyDescent="0.25">
      <c r="A11" s="31" t="s">
        <v>7</v>
      </c>
      <c r="B11" s="88">
        <v>0</v>
      </c>
      <c r="C11" s="34"/>
      <c r="D11" s="85">
        <f t="shared" si="0"/>
        <v>0</v>
      </c>
      <c r="E11" s="249"/>
      <c r="F11" s="45"/>
      <c r="H11" s="37"/>
      <c r="I11" s="11">
        <v>175</v>
      </c>
      <c r="J11" s="9">
        <f t="shared" si="1"/>
        <v>0</v>
      </c>
      <c r="K11" s="231"/>
      <c r="L11" s="2"/>
    </row>
    <row r="12" spans="1:13" s="24" customFormat="1" x14ac:dyDescent="0.25">
      <c r="A12" s="42" t="s">
        <v>6</v>
      </c>
      <c r="B12" s="87">
        <v>0</v>
      </c>
      <c r="C12" s="52"/>
      <c r="D12" s="84">
        <f t="shared" si="0"/>
        <v>0</v>
      </c>
      <c r="E12" s="248"/>
      <c r="F12" s="45"/>
      <c r="H12" s="53"/>
      <c r="I12" s="54">
        <v>170</v>
      </c>
      <c r="J12" s="55">
        <f t="shared" si="1"/>
        <v>0</v>
      </c>
      <c r="K12" s="235"/>
      <c r="L12" s="51"/>
    </row>
    <row r="13" spans="1:13" x14ac:dyDescent="0.25">
      <c r="A13" s="35" t="s">
        <v>5</v>
      </c>
      <c r="B13" s="89">
        <v>80</v>
      </c>
      <c r="C13" s="33">
        <f>B13*(0.00001/1)</f>
        <v>8.0000000000000004E-4</v>
      </c>
      <c r="D13" s="85">
        <f>C13/C23</f>
        <v>1.5600624024960999E-3</v>
      </c>
      <c r="E13" s="249"/>
      <c r="F13" s="45"/>
      <c r="H13" s="214">
        <f>B13*H6</f>
        <v>1960.5173587474474</v>
      </c>
      <c r="I13" s="11">
        <f>462</f>
        <v>462</v>
      </c>
      <c r="J13" s="9">
        <f>(H13/1000)*(I13/50)</f>
        <v>18.115180394826414</v>
      </c>
      <c r="K13" s="235"/>
      <c r="L13" s="2"/>
    </row>
    <row r="14" spans="1:13" s="24" customFormat="1" ht="15.75" thickBot="1" x14ac:dyDescent="0.3">
      <c r="A14" s="56" t="s">
        <v>4</v>
      </c>
      <c r="B14" s="90">
        <v>1</v>
      </c>
      <c r="C14" s="58">
        <f>B14*(0.032/1)</f>
        <v>3.2000000000000001E-2</v>
      </c>
      <c r="D14" s="250">
        <f t="shared" si="0"/>
        <v>6.2402496099843989E-2</v>
      </c>
      <c r="E14" s="251"/>
      <c r="F14" s="45"/>
      <c r="H14" s="215">
        <f>B14*H6</f>
        <v>24.506466984343092</v>
      </c>
      <c r="I14" s="216">
        <v>31</v>
      </c>
      <c r="J14" s="217">
        <f t="shared" si="1"/>
        <v>759.70047651463585</v>
      </c>
      <c r="K14" s="235"/>
      <c r="L14" s="208"/>
    </row>
    <row r="15" spans="1:13" s="24" customFormat="1" ht="15.75" thickBot="1" x14ac:dyDescent="0.3">
      <c r="A15" s="236"/>
      <c r="B15" s="80"/>
      <c r="C15" s="227"/>
      <c r="D15" s="246"/>
      <c r="E15" s="247"/>
      <c r="F15" s="45"/>
      <c r="H15" s="218"/>
      <c r="I15" s="219"/>
      <c r="K15" s="257"/>
      <c r="L15" s="60"/>
      <c r="M15" s="256"/>
    </row>
    <row r="16" spans="1:13" ht="15.75" thickBot="1" x14ac:dyDescent="0.3">
      <c r="A16" s="582" t="s">
        <v>20</v>
      </c>
      <c r="B16" s="583"/>
      <c r="C16" s="584"/>
      <c r="D16" s="585">
        <v>8</v>
      </c>
      <c r="E16" s="586"/>
      <c r="F16" s="4"/>
      <c r="H16" s="220">
        <f>H5/D17</f>
        <v>0.898876404494382</v>
      </c>
      <c r="I16" s="221">
        <v>120</v>
      </c>
      <c r="J16" s="222">
        <f>(D16*I16)*H16</f>
        <v>862.92134831460669</v>
      </c>
      <c r="K16" s="253"/>
      <c r="L16" s="2"/>
    </row>
    <row r="17" spans="1:13" ht="15.75" thickBot="1" x14ac:dyDescent="0.3">
      <c r="A17" s="587" t="s">
        <v>21</v>
      </c>
      <c r="B17" s="588"/>
      <c r="C17" s="589"/>
      <c r="D17" s="795">
        <f>234+567</f>
        <v>801</v>
      </c>
      <c r="E17" s="796"/>
      <c r="F17" s="4"/>
      <c r="H17" s="223" t="s">
        <v>2</v>
      </c>
      <c r="I17" s="10">
        <v>0.12</v>
      </c>
      <c r="J17" s="9">
        <f>H25*I17</f>
        <v>0.44400000000000001</v>
      </c>
      <c r="K17" s="254"/>
      <c r="L17" s="2"/>
    </row>
    <row r="18" spans="1:13" ht="15.75" thickBot="1" x14ac:dyDescent="0.3">
      <c r="A18" s="237"/>
      <c r="F18" s="4"/>
      <c r="H18" s="39" t="s">
        <v>45</v>
      </c>
      <c r="I18" s="210">
        <v>0</v>
      </c>
      <c r="J18" s="41">
        <f>D20*I18</f>
        <v>0</v>
      </c>
      <c r="K18" s="253"/>
      <c r="L18" s="2"/>
    </row>
    <row r="19" spans="1:13" x14ac:dyDescent="0.25">
      <c r="A19" s="806" t="s">
        <v>41</v>
      </c>
      <c r="B19" s="807"/>
      <c r="C19" s="807"/>
      <c r="D19" s="807"/>
      <c r="E19" s="808"/>
      <c r="F19" s="4"/>
      <c r="G19" s="25"/>
      <c r="H19" s="224"/>
      <c r="I19" s="225"/>
      <c r="J19" s="3"/>
      <c r="K19" s="231"/>
      <c r="L19" s="2"/>
      <c r="M19" s="2"/>
    </row>
    <row r="20" spans="1:13" x14ac:dyDescent="0.25">
      <c r="A20" s="12" t="s">
        <v>42</v>
      </c>
      <c r="B20" s="212" t="s">
        <v>44</v>
      </c>
      <c r="C20" s="211" t="s">
        <v>43</v>
      </c>
      <c r="D20" s="809">
        <f>A21/B21*C21</f>
        <v>0</v>
      </c>
      <c r="E20" s="810"/>
      <c r="F20" s="4"/>
      <c r="G20" s="25"/>
      <c r="H20" s="224"/>
      <c r="I20" s="225"/>
      <c r="J20" s="3"/>
      <c r="K20" s="231"/>
      <c r="L20" s="2"/>
      <c r="M20" s="2"/>
    </row>
    <row r="21" spans="1:13" ht="15.75" thickBot="1" x14ac:dyDescent="0.3">
      <c r="A21" s="243">
        <v>0</v>
      </c>
      <c r="B21" s="244">
        <v>3</v>
      </c>
      <c r="C21" s="245">
        <v>6.15</v>
      </c>
      <c r="D21" s="811"/>
      <c r="E21" s="812"/>
      <c r="F21" s="4"/>
      <c r="G21" s="25"/>
      <c r="H21" s="224"/>
      <c r="I21" s="225"/>
      <c r="J21" s="3"/>
      <c r="K21" s="231"/>
      <c r="L21" s="2"/>
      <c r="M21" s="2"/>
    </row>
    <row r="22" spans="1:13" ht="15.75" thickBot="1" x14ac:dyDescent="0.3">
      <c r="A22" s="237"/>
      <c r="D22" s="8"/>
      <c r="E22" s="7"/>
      <c r="F22" s="4"/>
      <c r="G22" s="25"/>
      <c r="H22" s="6"/>
      <c r="I22" s="226"/>
      <c r="J22" s="3"/>
      <c r="K22" s="231"/>
      <c r="L22" s="2"/>
      <c r="M22" s="2"/>
    </row>
    <row r="23" spans="1:13" ht="15" customHeight="1" x14ac:dyDescent="0.25">
      <c r="A23" s="797" t="s">
        <v>17</v>
      </c>
      <c r="B23" s="612"/>
      <c r="C23" s="26">
        <f>SUM(C8:C14)</f>
        <v>0.51280000000000003</v>
      </c>
      <c r="D23" s="8"/>
      <c r="F23" s="600" t="s">
        <v>1</v>
      </c>
      <c r="G23" s="602"/>
      <c r="H23" s="834">
        <f>SUM(J8:J18)/H5</f>
        <v>4.730064761245516</v>
      </c>
      <c r="I23" s="835"/>
      <c r="J23" s="828">
        <f>(H25*H5)-(H23*H5)</f>
        <v>-741.64662809677156</v>
      </c>
      <c r="K23" s="829"/>
      <c r="L23" s="634"/>
      <c r="M23" s="634"/>
    </row>
    <row r="24" spans="1:13" ht="15.75" customHeight="1" thickBot="1" x14ac:dyDescent="0.3">
      <c r="A24" s="804" t="s">
        <v>18</v>
      </c>
      <c r="B24" s="805"/>
      <c r="C24" s="91">
        <v>29.38</v>
      </c>
      <c r="D24" s="265">
        <f>C23/C24</f>
        <v>1.7454050374404357E-2</v>
      </c>
      <c r="F24" s="613"/>
      <c r="G24" s="614"/>
      <c r="H24" s="836"/>
      <c r="I24" s="837"/>
      <c r="J24" s="830"/>
      <c r="K24" s="831"/>
      <c r="M24" s="2"/>
    </row>
    <row r="25" spans="1:13" ht="15" customHeight="1" x14ac:dyDescent="0.25">
      <c r="A25" s="238"/>
      <c r="B25" s="2"/>
      <c r="C25" s="2"/>
      <c r="D25" s="8"/>
      <c r="F25" s="600" t="s">
        <v>0</v>
      </c>
      <c r="G25" s="602"/>
      <c r="H25" s="627">
        <v>3.7</v>
      </c>
      <c r="I25" s="629"/>
      <c r="J25" s="830"/>
      <c r="K25" s="831"/>
      <c r="M25" s="2"/>
    </row>
    <row r="26" spans="1:13" ht="15.75" customHeight="1" thickBot="1" x14ac:dyDescent="0.3">
      <c r="A26" s="239"/>
      <c r="B26" s="240"/>
      <c r="C26" s="241"/>
      <c r="D26" s="240"/>
      <c r="E26" s="242"/>
      <c r="F26" s="793"/>
      <c r="G26" s="794"/>
      <c r="H26" s="838"/>
      <c r="I26" s="839"/>
      <c r="J26" s="832"/>
      <c r="K26" s="833"/>
    </row>
    <row r="27" spans="1:13" ht="15.75" thickTop="1" x14ac:dyDescent="0.25"/>
    <row r="28" spans="1:13" x14ac:dyDescent="0.25">
      <c r="I28" s="255"/>
      <c r="J28" s="255"/>
    </row>
    <row r="30" spans="1:13" x14ac:dyDescent="0.25">
      <c r="E30" s="252"/>
    </row>
  </sheetData>
  <mergeCells count="22">
    <mergeCell ref="H6:J6"/>
    <mergeCell ref="A7:E7"/>
    <mergeCell ref="A1:K2"/>
    <mergeCell ref="A4:C5"/>
    <mergeCell ref="D4:E4"/>
    <mergeCell ref="H4:J4"/>
    <mergeCell ref="D5:E5"/>
    <mergeCell ref="H5:J5"/>
    <mergeCell ref="A16:C16"/>
    <mergeCell ref="D16:E16"/>
    <mergeCell ref="A17:C17"/>
    <mergeCell ref="D17:E17"/>
    <mergeCell ref="A19:E19"/>
    <mergeCell ref="L23:M23"/>
    <mergeCell ref="A24:B24"/>
    <mergeCell ref="F25:G26"/>
    <mergeCell ref="H25:I26"/>
    <mergeCell ref="D20:E21"/>
    <mergeCell ref="A23:B23"/>
    <mergeCell ref="F23:G24"/>
    <mergeCell ref="H23:I24"/>
    <mergeCell ref="J23:K2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21EA-E2E3-4EFD-B7AF-CA057A9D5C33}">
  <dimension ref="A1:L35"/>
  <sheetViews>
    <sheetView view="pageBreakPreview" zoomScale="60" zoomScaleNormal="100" workbookViewId="0">
      <selection activeCell="R15" sqref="R15"/>
    </sheetView>
  </sheetViews>
  <sheetFormatPr defaultRowHeight="15" x14ac:dyDescent="0.25"/>
  <cols>
    <col min="1" max="1" width="21.85546875" style="1" bestFit="1" customWidth="1"/>
    <col min="2" max="2" width="8.42578125" style="1" bestFit="1" customWidth="1"/>
    <col min="3" max="3" width="12.28515625" style="1" bestFit="1" customWidth="1"/>
    <col min="4" max="4" width="10.5703125" style="1" bestFit="1" customWidth="1"/>
    <col min="5" max="5" width="10.85546875" style="1" bestFit="1" customWidth="1"/>
    <col min="6" max="6" width="11.5703125" style="1" bestFit="1" customWidth="1"/>
    <col min="7" max="7" width="9.7109375" style="1" bestFit="1" customWidth="1"/>
    <col min="8" max="8" width="18" style="1" bestFit="1" customWidth="1"/>
    <col min="9" max="9" width="10.5703125" style="1" bestFit="1" customWidth="1"/>
    <col min="10" max="10" width="14.42578125" style="1" bestFit="1" customWidth="1"/>
    <col min="11" max="11" width="8.7109375" style="1" bestFit="1" customWidth="1"/>
    <col min="12" max="16384" width="9.140625" style="1"/>
  </cols>
  <sheetData>
    <row r="1" spans="1:11" ht="15" customHeight="1" x14ac:dyDescent="0.25">
      <c r="A1" s="460" t="s">
        <v>85</v>
      </c>
      <c r="B1" s="461"/>
      <c r="C1" s="461"/>
      <c r="D1" s="461"/>
      <c r="E1" s="461"/>
      <c r="F1" s="461"/>
      <c r="G1" s="461"/>
      <c r="H1" s="461"/>
      <c r="I1" s="461"/>
      <c r="J1" s="461"/>
      <c r="K1" s="462"/>
    </row>
    <row r="2" spans="1:11" ht="18" customHeight="1" thickBot="1" x14ac:dyDescent="0.3">
      <c r="A2" s="463"/>
      <c r="B2" s="464"/>
      <c r="C2" s="464"/>
      <c r="D2" s="464"/>
      <c r="E2" s="464"/>
      <c r="F2" s="464"/>
      <c r="G2" s="464"/>
      <c r="H2" s="464"/>
      <c r="I2" s="464"/>
      <c r="J2" s="464"/>
      <c r="K2" s="465"/>
    </row>
    <row r="3" spans="1:11" s="17" customFormat="1" ht="18" customHeight="1" thickBot="1" x14ac:dyDescent="0.3">
      <c r="A3" s="431"/>
      <c r="B3" s="432"/>
      <c r="C3" s="432"/>
      <c r="D3" s="432"/>
      <c r="E3" s="432"/>
      <c r="F3" s="432"/>
      <c r="G3" s="432"/>
      <c r="H3" s="432"/>
      <c r="I3" s="432"/>
      <c r="J3" s="433"/>
      <c r="K3" s="434"/>
    </row>
    <row r="4" spans="1:11" x14ac:dyDescent="0.25">
      <c r="A4" s="446" t="s">
        <v>23</v>
      </c>
      <c r="B4" s="324"/>
      <c r="C4" s="324"/>
      <c r="D4" s="67" t="s">
        <v>12</v>
      </c>
      <c r="E4" s="475"/>
      <c r="F4" s="16"/>
      <c r="H4" s="448" t="s">
        <v>22</v>
      </c>
      <c r="I4" s="449"/>
      <c r="J4" s="450"/>
      <c r="K4" s="435"/>
    </row>
    <row r="5" spans="1:11" ht="15.75" thickBot="1" x14ac:dyDescent="0.3">
      <c r="A5" s="447"/>
      <c r="B5" s="325"/>
      <c r="C5" s="325"/>
      <c r="D5" s="69">
        <v>1</v>
      </c>
      <c r="E5" s="474"/>
      <c r="F5" s="13"/>
      <c r="H5" s="451">
        <v>50000</v>
      </c>
      <c r="I5" s="452"/>
      <c r="J5" s="453"/>
      <c r="K5" s="14"/>
    </row>
    <row r="6" spans="1:11" ht="15.75" thickBot="1" x14ac:dyDescent="0.3">
      <c r="A6" s="66"/>
      <c r="B6" s="29"/>
      <c r="C6" s="29"/>
      <c r="D6" s="75"/>
      <c r="E6" s="76"/>
      <c r="F6" s="13"/>
      <c r="H6" s="486">
        <f>H5/C24</f>
        <v>618.8884762965713</v>
      </c>
      <c r="I6" s="487"/>
      <c r="J6" s="488"/>
      <c r="K6" s="14"/>
    </row>
    <row r="7" spans="1:11" ht="15.75" thickBot="1" x14ac:dyDescent="0.3">
      <c r="A7" s="489" t="s">
        <v>19</v>
      </c>
      <c r="B7" s="490"/>
      <c r="C7" s="490"/>
      <c r="D7" s="490"/>
      <c r="E7" s="491"/>
      <c r="F7" s="13"/>
      <c r="G7" s="2"/>
      <c r="H7" s="2"/>
      <c r="I7" s="3"/>
      <c r="J7" s="3"/>
      <c r="K7" s="14"/>
    </row>
    <row r="8" spans="1:11" s="24" customFormat="1" ht="15.75" thickBot="1" x14ac:dyDescent="0.3">
      <c r="A8" s="42" t="s">
        <v>10</v>
      </c>
      <c r="B8" s="87">
        <v>4</v>
      </c>
      <c r="C8" s="44">
        <f>B8*(1/50)</f>
        <v>0.08</v>
      </c>
      <c r="D8" s="84">
        <f t="shared" ref="D8:D14" si="0">C8/$C$23</f>
        <v>0.3436426116838488</v>
      </c>
      <c r="E8" s="248"/>
      <c r="F8" s="45"/>
      <c r="H8" s="209">
        <f>$H$6*B8</f>
        <v>2475.5539051862852</v>
      </c>
      <c r="I8" s="47">
        <v>140</v>
      </c>
      <c r="J8" s="48">
        <f>I8/50*H8</f>
        <v>6931.5509345215978</v>
      </c>
      <c r="K8" s="425">
        <f t="shared" ref="K8:K9" si="1">J8/$H$5</f>
        <v>0.13863101869043196</v>
      </c>
    </row>
    <row r="9" spans="1:11" ht="15.75" thickBot="1" x14ac:dyDescent="0.3">
      <c r="A9" s="31" t="s">
        <v>9</v>
      </c>
      <c r="B9" s="88">
        <v>6</v>
      </c>
      <c r="C9" s="33">
        <f>B9*(1/50)</f>
        <v>0.12</v>
      </c>
      <c r="D9" s="85">
        <f t="shared" si="0"/>
        <v>0.51546391752577314</v>
      </c>
      <c r="E9" s="249"/>
      <c r="F9" s="13"/>
      <c r="G9" s="24"/>
      <c r="H9" s="213">
        <f>$H$6*B9</f>
        <v>3713.3308577794278</v>
      </c>
      <c r="I9" s="11">
        <v>170</v>
      </c>
      <c r="J9" s="55">
        <f>(I9/50)*H9</f>
        <v>12625.324916450054</v>
      </c>
      <c r="K9" s="425">
        <f t="shared" si="1"/>
        <v>0.25250649832900107</v>
      </c>
    </row>
    <row r="10" spans="1:11" s="24" customFormat="1" x14ac:dyDescent="0.25">
      <c r="A10" s="42" t="s">
        <v>8</v>
      </c>
      <c r="B10" s="87">
        <v>0</v>
      </c>
      <c r="C10" s="52"/>
      <c r="D10" s="84">
        <f t="shared" si="0"/>
        <v>0</v>
      </c>
      <c r="E10" s="248"/>
      <c r="F10" s="45"/>
      <c r="H10" s="53"/>
      <c r="I10" s="54">
        <v>170</v>
      </c>
      <c r="J10" s="55">
        <f t="shared" ref="J10:J14" si="2">H10*I10</f>
        <v>0</v>
      </c>
      <c r="K10" s="55"/>
    </row>
    <row r="11" spans="1:11" x14ac:dyDescent="0.25">
      <c r="A11" s="31" t="s">
        <v>7</v>
      </c>
      <c r="B11" s="88">
        <v>0</v>
      </c>
      <c r="C11" s="34"/>
      <c r="D11" s="85">
        <f t="shared" si="0"/>
        <v>0</v>
      </c>
      <c r="E11" s="249"/>
      <c r="F11" s="45"/>
      <c r="H11" s="37"/>
      <c r="I11" s="11">
        <v>175</v>
      </c>
      <c r="J11" s="9">
        <f t="shared" si="2"/>
        <v>0</v>
      </c>
      <c r="K11" s="55"/>
    </row>
    <row r="12" spans="1:11" s="24" customFormat="1" ht="15.75" thickBot="1" x14ac:dyDescent="0.3">
      <c r="A12" s="42" t="s">
        <v>6</v>
      </c>
      <c r="B12" s="87">
        <v>0</v>
      </c>
      <c r="C12" s="52"/>
      <c r="D12" s="84">
        <f t="shared" si="0"/>
        <v>0</v>
      </c>
      <c r="E12" s="248"/>
      <c r="F12" s="45"/>
      <c r="H12" s="53"/>
      <c r="I12" s="54">
        <v>170</v>
      </c>
      <c r="J12" s="55">
        <f t="shared" si="2"/>
        <v>0</v>
      </c>
      <c r="K12" s="55"/>
    </row>
    <row r="13" spans="1:11" ht="15.75" thickBot="1" x14ac:dyDescent="0.3">
      <c r="A13" s="35" t="s">
        <v>5</v>
      </c>
      <c r="B13" s="89">
        <v>80</v>
      </c>
      <c r="C13" s="33">
        <f>B13*(0.00001/1)</f>
        <v>8.0000000000000004E-4</v>
      </c>
      <c r="D13" s="85">
        <f>C13/C23</f>
        <v>3.4364261168384879E-3</v>
      </c>
      <c r="E13" s="249"/>
      <c r="F13" s="45"/>
      <c r="H13" s="214">
        <f>B13*H6</f>
        <v>49511.078103725704</v>
      </c>
      <c r="I13" s="11">
        <f>462</f>
        <v>462</v>
      </c>
      <c r="J13" s="9">
        <f>(H13/1000)*(I13/50)</f>
        <v>457.48236167842549</v>
      </c>
      <c r="K13" s="425">
        <f>J13/H5</f>
        <v>9.1496472335685104E-3</v>
      </c>
    </row>
    <row r="14" spans="1:11" s="24" customFormat="1" ht="15.75" thickBot="1" x14ac:dyDescent="0.3">
      <c r="A14" s="56" t="s">
        <v>4</v>
      </c>
      <c r="B14" s="90">
        <v>1</v>
      </c>
      <c r="C14" s="58">
        <f>B14*(0.032/1)</f>
        <v>3.2000000000000001E-2</v>
      </c>
      <c r="D14" s="250">
        <f t="shared" si="0"/>
        <v>0.13745704467353953</v>
      </c>
      <c r="E14" s="251"/>
      <c r="F14" s="45"/>
      <c r="H14" s="215">
        <f>B14*H6</f>
        <v>618.8884762965713</v>
      </c>
      <c r="I14" s="216">
        <f>33.9+4.7</f>
        <v>38.6</v>
      </c>
      <c r="J14" s="217">
        <f t="shared" si="2"/>
        <v>23889.095185047652</v>
      </c>
      <c r="K14" s="425">
        <f>J14/$H$5</f>
        <v>0.47778190370095303</v>
      </c>
    </row>
    <row r="15" spans="1:11" s="24" customFormat="1" ht="15.75" thickBot="1" x14ac:dyDescent="0.3">
      <c r="A15" s="436"/>
      <c r="B15" s="80"/>
      <c r="C15" s="227"/>
      <c r="D15" s="246"/>
      <c r="E15" s="247"/>
      <c r="F15" s="45"/>
      <c r="H15" s="218"/>
      <c r="I15" s="219"/>
      <c r="K15" s="55"/>
    </row>
    <row r="16" spans="1:11" ht="15.75" thickBot="1" x14ac:dyDescent="0.3">
      <c r="A16" s="438" t="s">
        <v>20</v>
      </c>
      <c r="B16" s="439"/>
      <c r="C16" s="440"/>
      <c r="D16" s="441">
        <v>5</v>
      </c>
      <c r="E16" s="442"/>
      <c r="F16" s="4"/>
      <c r="H16" s="220">
        <f>H5/D17</f>
        <v>27.777777777777779</v>
      </c>
      <c r="I16" s="221">
        <v>120</v>
      </c>
      <c r="J16" s="222">
        <f>(D16*I16)*H16</f>
        <v>16666.666666666668</v>
      </c>
      <c r="K16" s="425">
        <f>+J16/H5</f>
        <v>0.33333333333333337</v>
      </c>
    </row>
    <row r="17" spans="1:12" ht="15.75" thickBot="1" x14ac:dyDescent="0.3">
      <c r="A17" s="443" t="s">
        <v>21</v>
      </c>
      <c r="B17" s="444"/>
      <c r="C17" s="445"/>
      <c r="D17" s="458">
        <v>1800</v>
      </c>
      <c r="E17" s="459"/>
      <c r="F17" s="4"/>
      <c r="H17" s="223" t="s">
        <v>2</v>
      </c>
      <c r="I17" s="10">
        <v>0.12</v>
      </c>
      <c r="J17" s="9">
        <f>H30*I17*H5</f>
        <v>9600</v>
      </c>
      <c r="K17" s="425">
        <f>J17/H5</f>
        <v>0.192</v>
      </c>
    </row>
    <row r="18" spans="1:12" ht="15.75" thickBot="1" x14ac:dyDescent="0.3">
      <c r="A18" s="63"/>
      <c r="F18" s="4"/>
      <c r="H18" s="223" t="s">
        <v>45</v>
      </c>
      <c r="I18" s="10">
        <f>0.48*50</f>
        <v>24</v>
      </c>
      <c r="J18" s="9">
        <f>(H5/50)*I18</f>
        <v>24000</v>
      </c>
      <c r="K18" s="427">
        <f>J18/H5</f>
        <v>0.48</v>
      </c>
    </row>
    <row r="19" spans="1:12" ht="15.75" thickBot="1" x14ac:dyDescent="0.3">
      <c r="A19" s="467" t="s">
        <v>41</v>
      </c>
      <c r="B19" s="468"/>
      <c r="C19" s="468"/>
      <c r="D19" s="468"/>
      <c r="E19" s="469"/>
      <c r="F19" s="4"/>
      <c r="G19" s="25"/>
      <c r="H19" s="428" t="s">
        <v>32</v>
      </c>
      <c r="I19" s="429">
        <f>B30</f>
        <v>0.2</v>
      </c>
      <c r="J19" s="430">
        <f>C31*H5</f>
        <v>23542.530016091099</v>
      </c>
      <c r="K19" s="427">
        <f>J19/H5</f>
        <v>0.47085060032182197</v>
      </c>
    </row>
    <row r="20" spans="1:12" ht="15.75" thickBot="1" x14ac:dyDescent="0.3">
      <c r="A20" s="12" t="s">
        <v>42</v>
      </c>
      <c r="B20" s="212" t="s">
        <v>44</v>
      </c>
      <c r="C20" s="211" t="s">
        <v>43</v>
      </c>
      <c r="D20" s="470">
        <f>A21/B21*C21</f>
        <v>943.00000000000011</v>
      </c>
      <c r="E20" s="471"/>
      <c r="F20" s="4"/>
      <c r="G20" s="25"/>
      <c r="H20" s="224"/>
      <c r="J20" s="3"/>
      <c r="K20" s="318"/>
    </row>
    <row r="21" spans="1:12" ht="15.75" thickBot="1" x14ac:dyDescent="0.3">
      <c r="A21" s="243">
        <f>230*2</f>
        <v>460</v>
      </c>
      <c r="B21" s="244">
        <v>3</v>
      </c>
      <c r="C21" s="245">
        <v>6.15</v>
      </c>
      <c r="D21" s="472"/>
      <c r="E21" s="473"/>
      <c r="F21" s="4"/>
      <c r="H21" s="448" t="s">
        <v>1</v>
      </c>
      <c r="I21" s="450"/>
      <c r="J21" s="497">
        <f>SUM(K8:K19)</f>
        <v>2.3542530016091097</v>
      </c>
      <c r="K21" s="498"/>
    </row>
    <row r="22" spans="1:12" ht="15.75" thickBot="1" x14ac:dyDescent="0.3">
      <c r="A22" s="63"/>
      <c r="D22" s="8"/>
      <c r="E22" s="7"/>
      <c r="F22" s="4"/>
      <c r="H22" s="454"/>
      <c r="I22" s="455"/>
      <c r="J22" s="499"/>
      <c r="K22" s="500"/>
    </row>
    <row r="23" spans="1:12" ht="15" customHeight="1" x14ac:dyDescent="0.25">
      <c r="A23" s="64" t="s">
        <v>17</v>
      </c>
      <c r="B23" s="15"/>
      <c r="C23" s="26">
        <f>SUM(C8:C14)</f>
        <v>0.23280000000000001</v>
      </c>
      <c r="D23" s="8"/>
      <c r="H23" s="448" t="s">
        <v>86</v>
      </c>
      <c r="I23" s="450"/>
      <c r="J23" s="501">
        <f>J21*50</f>
        <v>117.71265008045549</v>
      </c>
      <c r="K23" s="502"/>
      <c r="L23" s="255"/>
    </row>
    <row r="24" spans="1:12" ht="15.75" customHeight="1" thickBot="1" x14ac:dyDescent="0.3">
      <c r="A24" s="492" t="s">
        <v>18</v>
      </c>
      <c r="B24" s="466"/>
      <c r="C24" s="91">
        <v>80.790000000000006</v>
      </c>
      <c r="D24" s="437">
        <f>C23/C24</f>
        <v>2.8815447456368359E-3</v>
      </c>
      <c r="H24" s="454"/>
      <c r="I24" s="455"/>
      <c r="J24" s="503"/>
      <c r="K24" s="504"/>
    </row>
    <row r="25" spans="1:12" ht="15" customHeight="1" x14ac:dyDescent="0.25">
      <c r="A25" s="5"/>
      <c r="B25" s="2"/>
      <c r="C25" s="2"/>
      <c r="D25" s="8"/>
      <c r="H25" s="448" t="s">
        <v>0</v>
      </c>
      <c r="I25" s="450"/>
      <c r="J25" s="505">
        <f>118</f>
        <v>118</v>
      </c>
      <c r="K25" s="506"/>
    </row>
    <row r="26" spans="1:12" ht="15.75" customHeight="1" thickBot="1" x14ac:dyDescent="0.3">
      <c r="A26" s="65"/>
      <c r="B26" s="282"/>
      <c r="C26" s="282"/>
      <c r="D26" s="62"/>
      <c r="E26" s="282"/>
      <c r="F26" s="282"/>
      <c r="G26" s="282"/>
      <c r="H26" s="454"/>
      <c r="I26" s="455"/>
      <c r="J26" s="484"/>
      <c r="K26" s="485"/>
    </row>
    <row r="27" spans="1:12" ht="15.75" thickBot="1" x14ac:dyDescent="0.3"/>
    <row r="28" spans="1:12" ht="15" customHeight="1" x14ac:dyDescent="0.25">
      <c r="H28" s="482">
        <f>SUM(J8:J18)/H5</f>
        <v>1.8834024012872879</v>
      </c>
      <c r="I28" s="483"/>
      <c r="J28" s="476">
        <f>J21*50</f>
        <v>117.71265008045549</v>
      </c>
      <c r="K28" s="477"/>
    </row>
    <row r="29" spans="1:12" ht="15.75" customHeight="1" thickBot="1" x14ac:dyDescent="0.3">
      <c r="H29" s="484"/>
      <c r="I29" s="485"/>
      <c r="J29" s="478"/>
      <c r="K29" s="479"/>
    </row>
    <row r="30" spans="1:12" ht="15.75" customHeight="1" thickBot="1" x14ac:dyDescent="0.3">
      <c r="A30" s="239" t="s">
        <v>32</v>
      </c>
      <c r="B30" s="426">
        <v>0.2</v>
      </c>
      <c r="C30" s="241"/>
      <c r="E30" s="252"/>
      <c r="F30" s="448" t="s">
        <v>0</v>
      </c>
      <c r="G30" s="450"/>
      <c r="H30" s="493">
        <f>80/50</f>
        <v>1.6</v>
      </c>
      <c r="I30" s="494"/>
      <c r="J30" s="478"/>
      <c r="K30" s="479"/>
    </row>
    <row r="31" spans="1:12" ht="16.5" customHeight="1" thickTop="1" thickBot="1" x14ac:dyDescent="0.3">
      <c r="B31" s="426">
        <f>100%-B30</f>
        <v>0.8</v>
      </c>
      <c r="C31" s="1">
        <f>+H28/B31*B30</f>
        <v>0.47085060032182197</v>
      </c>
      <c r="F31" s="456"/>
      <c r="G31" s="457"/>
      <c r="H31" s="495"/>
      <c r="I31" s="496"/>
      <c r="J31" s="480"/>
      <c r="K31" s="481"/>
    </row>
    <row r="32" spans="1:12" ht="15.75" thickTop="1" x14ac:dyDescent="0.25">
      <c r="G32" s="424"/>
      <c r="I32" s="1">
        <f>5*1800</f>
        <v>9000</v>
      </c>
    </row>
    <row r="35" spans="6:6" x14ac:dyDescent="0.25">
      <c r="F35" s="255"/>
    </row>
  </sheetData>
  <phoneticPr fontId="52" type="noConversion"/>
  <pageMargins left="0.511811024" right="0.511811024" top="0.78740157499999996" bottom="0.78740157499999996" header="0.31496062000000002" footer="0.31496062000000002"/>
  <pageSetup paperSize="9" scale="6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36D4-1EA6-47E4-9D65-000C4C808E81}">
  <dimension ref="A1:S35"/>
  <sheetViews>
    <sheetView showGridLines="0" workbookViewId="0">
      <selection sqref="A1:K27"/>
    </sheetView>
  </sheetViews>
  <sheetFormatPr defaultRowHeight="15" x14ac:dyDescent="0.25"/>
  <cols>
    <col min="1" max="1" width="16.42578125" bestFit="1" customWidth="1"/>
    <col min="2" max="2" width="6.5703125" bestFit="1" customWidth="1"/>
    <col min="3" max="3" width="9.7109375" bestFit="1" customWidth="1"/>
    <col min="4" max="4" width="7.85546875" bestFit="1" customWidth="1"/>
    <col min="5" max="5" width="13.85546875" bestFit="1" customWidth="1"/>
    <col min="6" max="6" width="9.85546875" bestFit="1" customWidth="1"/>
    <col min="7" max="7" width="9" bestFit="1" customWidth="1"/>
    <col min="8" max="8" width="9.85546875" bestFit="1" customWidth="1"/>
    <col min="9" max="9" width="11.28515625" bestFit="1" customWidth="1"/>
    <col min="12" max="12" width="11.140625" bestFit="1" customWidth="1"/>
    <col min="16" max="16" width="10.42578125" bestFit="1" customWidth="1"/>
  </cols>
  <sheetData>
    <row r="1" spans="1:13" x14ac:dyDescent="0.25">
      <c r="A1" s="590" t="s">
        <v>87</v>
      </c>
      <c r="B1" s="591"/>
      <c r="C1" s="591"/>
      <c r="D1" s="591"/>
      <c r="E1" s="591"/>
      <c r="F1" s="591"/>
      <c r="G1" s="591"/>
      <c r="H1" s="591"/>
      <c r="I1" s="592"/>
      <c r="J1" s="3"/>
      <c r="K1" s="3"/>
    </row>
    <row r="2" spans="1:13" ht="15.75" thickBot="1" x14ac:dyDescent="0.3">
      <c r="A2" s="593"/>
      <c r="B2" s="594"/>
      <c r="C2" s="594"/>
      <c r="D2" s="594"/>
      <c r="E2" s="594"/>
      <c r="F2" s="594"/>
      <c r="G2" s="594"/>
      <c r="H2" s="594"/>
      <c r="I2" s="595"/>
      <c r="J2" s="3"/>
      <c r="K2" s="3"/>
      <c r="L2" t="s">
        <v>92</v>
      </c>
      <c r="M2">
        <v>1.8700000000000001E-2</v>
      </c>
    </row>
    <row r="3" spans="1:13" ht="15.75" thickBot="1" x14ac:dyDescent="0.3">
      <c r="A3" s="22"/>
      <c r="B3" s="21"/>
      <c r="C3" s="21"/>
      <c r="D3" s="21"/>
      <c r="E3" s="21"/>
      <c r="F3" s="21"/>
      <c r="G3" s="21"/>
      <c r="H3" s="21"/>
      <c r="I3" s="20"/>
      <c r="J3" s="19"/>
      <c r="K3" s="19"/>
      <c r="L3" t="s">
        <v>93</v>
      </c>
      <c r="M3">
        <f>1.6*M2</f>
        <v>2.9920000000000002E-2</v>
      </c>
    </row>
    <row r="4" spans="1:13" x14ac:dyDescent="0.25">
      <c r="A4" s="596" t="s">
        <v>90</v>
      </c>
      <c r="B4" s="510" t="s">
        <v>88</v>
      </c>
      <c r="C4" s="510"/>
      <c r="D4" s="513">
        <v>0.12</v>
      </c>
      <c r="E4" s="51"/>
      <c r="F4" s="508"/>
      <c r="G4" s="600" t="s">
        <v>22</v>
      </c>
      <c r="H4" s="601"/>
      <c r="I4" s="602"/>
      <c r="J4" s="3"/>
      <c r="K4" s="2"/>
    </row>
    <row r="5" spans="1:13" ht="15.75" thickBot="1" x14ac:dyDescent="0.3">
      <c r="A5" s="849"/>
      <c r="B5" t="s">
        <v>89</v>
      </c>
      <c r="D5" s="514">
        <v>0.04</v>
      </c>
      <c r="E5" s="346">
        <f>+D6*D4*D5</f>
        <v>4.7999999999999996E-3</v>
      </c>
      <c r="F5" s="509"/>
      <c r="G5" s="846">
        <f>4*3.7</f>
        <v>14.8</v>
      </c>
      <c r="H5" s="847"/>
      <c r="I5" s="848"/>
      <c r="J5" s="27"/>
      <c r="K5" s="3"/>
    </row>
    <row r="6" spans="1:13" ht="15.75" thickBot="1" x14ac:dyDescent="0.3">
      <c r="A6" s="598"/>
      <c r="B6" s="511" t="s">
        <v>91</v>
      </c>
      <c r="C6" s="511"/>
      <c r="D6" s="515">
        <v>1</v>
      </c>
      <c r="E6" s="346"/>
      <c r="F6" s="509"/>
      <c r="G6" s="850">
        <f>E5*G5</f>
        <v>7.1039999999999992E-2</v>
      </c>
      <c r="H6" s="850"/>
      <c r="I6" s="850"/>
      <c r="J6" s="3"/>
      <c r="K6" s="3"/>
    </row>
    <row r="7" spans="1:13" x14ac:dyDescent="0.25">
      <c r="A7" s="512"/>
      <c r="D7" s="507"/>
      <c r="E7" s="346"/>
      <c r="F7" s="509"/>
      <c r="G7" s="2"/>
      <c r="H7" s="2"/>
      <c r="I7" s="14"/>
      <c r="J7" s="3"/>
      <c r="K7" s="3"/>
    </row>
    <row r="8" spans="1:13" ht="15.75" thickBot="1" x14ac:dyDescent="0.3">
      <c r="A8" s="66"/>
      <c r="B8" s="29"/>
      <c r="C8" s="29"/>
      <c r="D8" s="75"/>
      <c r="E8" s="76"/>
      <c r="F8" s="13"/>
      <c r="G8" s="2"/>
      <c r="H8" s="2"/>
      <c r="I8" s="14"/>
      <c r="J8" s="3"/>
      <c r="K8" s="3"/>
    </row>
    <row r="9" spans="1:13" ht="15.75" thickBot="1" x14ac:dyDescent="0.3">
      <c r="A9" s="606" t="s">
        <v>19</v>
      </c>
      <c r="B9" s="607"/>
      <c r="C9" s="608"/>
      <c r="D9" s="77"/>
      <c r="E9" s="521">
        <f>G6/C18</f>
        <v>0.39565580618212187</v>
      </c>
      <c r="F9" s="13"/>
      <c r="G9" s="2"/>
      <c r="H9" s="2"/>
      <c r="I9" s="14"/>
      <c r="J9" s="3"/>
      <c r="K9" s="3"/>
    </row>
    <row r="10" spans="1:13" x14ac:dyDescent="0.25">
      <c r="A10" s="42" t="s">
        <v>10</v>
      </c>
      <c r="B10" s="87">
        <v>4</v>
      </c>
      <c r="C10" s="44">
        <f>B10*M2</f>
        <v>7.4800000000000005E-2</v>
      </c>
      <c r="D10" s="84">
        <f>C10/$C$24</f>
        <v>0.46881855217800061</v>
      </c>
      <c r="E10" s="519">
        <f>C10*E9</f>
        <v>2.9595054302422718E-2</v>
      </c>
      <c r="F10" s="93">
        <f>E10/M2</f>
        <v>1.5826232247284875</v>
      </c>
      <c r="G10" s="524">
        <f>E10</f>
        <v>2.9595054302422718E-2</v>
      </c>
      <c r="H10" s="47">
        <v>110</v>
      </c>
      <c r="I10" s="48">
        <f>G10*H10</f>
        <v>3.2554559732664989</v>
      </c>
      <c r="J10" s="49">
        <f>110/50</f>
        <v>2.2000000000000002</v>
      </c>
      <c r="K10" s="50"/>
    </row>
    <row r="11" spans="1:13" x14ac:dyDescent="0.25">
      <c r="A11" s="31" t="s">
        <v>9</v>
      </c>
      <c r="B11" s="88"/>
      <c r="C11" s="33"/>
      <c r="D11" s="85"/>
      <c r="E11" s="519"/>
      <c r="F11" s="93"/>
      <c r="G11" s="525"/>
      <c r="H11" s="11">
        <v>170</v>
      </c>
      <c r="I11" s="9">
        <f>G11*H11</f>
        <v>0</v>
      </c>
      <c r="J11" s="28"/>
      <c r="K11" s="3"/>
    </row>
    <row r="12" spans="1:13" x14ac:dyDescent="0.25">
      <c r="A12" s="42" t="s">
        <v>8</v>
      </c>
      <c r="B12" s="87"/>
      <c r="C12" s="33"/>
      <c r="D12" s="84"/>
      <c r="E12" s="519"/>
      <c r="F12" s="93"/>
      <c r="G12" s="526"/>
      <c r="H12" s="54"/>
      <c r="I12" s="55">
        <f>G12*H12</f>
        <v>0</v>
      </c>
      <c r="J12" s="50"/>
      <c r="K12" s="50"/>
    </row>
    <row r="13" spans="1:13" x14ac:dyDescent="0.25">
      <c r="A13" s="31" t="s">
        <v>7</v>
      </c>
      <c r="B13" s="88">
        <v>3</v>
      </c>
      <c r="C13" s="33">
        <f>B13*M2</f>
        <v>5.6100000000000004E-2</v>
      </c>
      <c r="D13" s="85">
        <f>C13/$C$24</f>
        <v>0.35161391413350046</v>
      </c>
      <c r="E13" s="519">
        <f>C13*E9</f>
        <v>2.2196290726817038E-2</v>
      </c>
      <c r="F13" s="93">
        <f>E13/M2</f>
        <v>1.1869674185463657</v>
      </c>
      <c r="G13" s="525">
        <f>E13</f>
        <v>2.2196290726817038E-2</v>
      </c>
      <c r="H13" s="11">
        <v>175</v>
      </c>
      <c r="I13" s="9">
        <f>G13*H13</f>
        <v>3.8843508771929818</v>
      </c>
      <c r="J13" s="3"/>
      <c r="K13" s="3"/>
    </row>
    <row r="14" spans="1:13" x14ac:dyDescent="0.25">
      <c r="A14" s="42" t="s">
        <v>6</v>
      </c>
      <c r="B14" s="87"/>
      <c r="C14" s="33"/>
      <c r="D14" s="84"/>
      <c r="E14" s="519"/>
      <c r="F14" s="93"/>
      <c r="G14" s="526"/>
      <c r="H14" s="54"/>
      <c r="I14" s="55">
        <f>G14*H14</f>
        <v>0</v>
      </c>
      <c r="J14" s="50"/>
      <c r="K14" s="50"/>
    </row>
    <row r="15" spans="1:13" x14ac:dyDescent="0.25">
      <c r="A15" s="35" t="s">
        <v>5</v>
      </c>
      <c r="B15" s="89">
        <v>0.08</v>
      </c>
      <c r="C15" s="33">
        <f>+B15/1000</f>
        <v>8.0000000000000007E-5</v>
      </c>
      <c r="D15" s="85">
        <f>C15/$C$24</f>
        <v>5.0141021623315571E-4</v>
      </c>
      <c r="E15" s="519">
        <f>+C15*(G6/C18)*1000</f>
        <v>3.1652464494569758E-2</v>
      </c>
      <c r="F15" s="93"/>
      <c r="G15" s="530">
        <f>E15</f>
        <v>3.1652464494569758E-2</v>
      </c>
      <c r="H15" s="11">
        <f>462</f>
        <v>462</v>
      </c>
      <c r="I15" s="9">
        <f>H15/53*G15</f>
        <v>0.27591393578285334</v>
      </c>
      <c r="J15" s="3"/>
      <c r="K15" s="3"/>
    </row>
    <row r="16" spans="1:13" x14ac:dyDescent="0.25">
      <c r="A16" s="31" t="s">
        <v>4</v>
      </c>
      <c r="B16" s="522">
        <v>1</v>
      </c>
      <c r="C16" s="33">
        <v>2.8570000000000002E-2</v>
      </c>
      <c r="D16" s="517">
        <f>C16/$C$24</f>
        <v>0.17906612347226572</v>
      </c>
      <c r="E16" s="519">
        <f>C16*E9</f>
        <v>1.1303886382623222E-2</v>
      </c>
      <c r="F16" s="93">
        <f>E16/M3</f>
        <v>0.37780368925879748</v>
      </c>
      <c r="G16" s="531">
        <f>E16/0.02857</f>
        <v>0.39565580618212187</v>
      </c>
      <c r="H16" s="54">
        <v>35</v>
      </c>
      <c r="I16" s="55">
        <f>G16*H16</f>
        <v>13.847953216374265</v>
      </c>
      <c r="J16" s="50"/>
      <c r="K16" s="50"/>
    </row>
    <row r="17" spans="1:18" x14ac:dyDescent="0.25">
      <c r="A17" s="42" t="s">
        <v>29</v>
      </c>
      <c r="B17" s="87">
        <v>20</v>
      </c>
      <c r="C17" s="33">
        <f>B17/1000</f>
        <v>0.02</v>
      </c>
      <c r="D17" s="520"/>
      <c r="E17" s="519"/>
      <c r="F17" s="45"/>
      <c r="G17" s="527"/>
      <c r="H17" s="54"/>
      <c r="I17" s="55"/>
      <c r="J17" s="50"/>
      <c r="K17" s="50"/>
    </row>
    <row r="18" spans="1:18" x14ac:dyDescent="0.25">
      <c r="A18" s="79"/>
      <c r="B18" s="516"/>
      <c r="C18" s="81">
        <f>SUM(C10:C17)</f>
        <v>0.17955000000000002</v>
      </c>
      <c r="D18" s="518">
        <f>G6/C18</f>
        <v>0.39565580618212187</v>
      </c>
      <c r="E18" s="76"/>
      <c r="F18" s="45"/>
      <c r="G18" s="527"/>
      <c r="H18" s="54"/>
      <c r="I18" s="55"/>
      <c r="J18" s="50"/>
      <c r="K18" s="50"/>
      <c r="L18">
        <f>+G6/C18</f>
        <v>0.39565580618212187</v>
      </c>
      <c r="R18">
        <f>500/139.2</f>
        <v>3.5919540229885061</v>
      </c>
    </row>
    <row r="19" spans="1:18" x14ac:dyDescent="0.25">
      <c r="A19" s="79" t="s">
        <v>94</v>
      </c>
      <c r="B19" s="523">
        <f>G5</f>
        <v>14.8</v>
      </c>
      <c r="C19" s="81"/>
      <c r="D19" s="246"/>
      <c r="E19" s="76"/>
      <c r="F19" s="45"/>
      <c r="G19" s="527">
        <f>G5</f>
        <v>14.8</v>
      </c>
      <c r="H19" s="54">
        <f>28.2/6</f>
        <v>4.7</v>
      </c>
      <c r="I19" s="55">
        <f>H19*G5</f>
        <v>69.56</v>
      </c>
      <c r="J19" s="50"/>
      <c r="K19" s="50"/>
    </row>
    <row r="20" spans="1:18" ht="15.75" thickBot="1" x14ac:dyDescent="0.3">
      <c r="A20" s="79"/>
      <c r="B20" s="80"/>
      <c r="C20" s="81"/>
      <c r="D20" s="246"/>
      <c r="E20" s="247"/>
      <c r="F20" s="45"/>
      <c r="G20" s="527"/>
      <c r="H20" s="54"/>
      <c r="I20" s="55"/>
      <c r="J20" s="50"/>
      <c r="K20" s="50"/>
    </row>
    <row r="21" spans="1:18" ht="15.75" thickBot="1" x14ac:dyDescent="0.3">
      <c r="A21" s="582" t="s">
        <v>20</v>
      </c>
      <c r="B21" s="583"/>
      <c r="C21" s="584"/>
      <c r="D21" s="585">
        <v>4</v>
      </c>
      <c r="E21" s="586"/>
      <c r="F21" s="532">
        <v>100</v>
      </c>
      <c r="G21" s="528">
        <f>G5/D22</f>
        <v>9.2499999999999999E-2</v>
      </c>
      <c r="H21" s="11">
        <v>120</v>
      </c>
      <c r="I21" s="9">
        <f>(D21*H21)*G21</f>
        <v>44.4</v>
      </c>
      <c r="J21" s="27"/>
      <c r="K21" s="3"/>
    </row>
    <row r="22" spans="1:18" ht="15.75" thickBot="1" x14ac:dyDescent="0.3">
      <c r="A22" s="587" t="s">
        <v>21</v>
      </c>
      <c r="B22" s="588"/>
      <c r="C22" s="589"/>
      <c r="D22" s="609">
        <v>160</v>
      </c>
      <c r="E22" s="610"/>
      <c r="F22" s="4"/>
      <c r="G22" s="529" t="s">
        <v>2</v>
      </c>
      <c r="H22" s="40">
        <v>0.2</v>
      </c>
      <c r="I22" s="41">
        <f>G26*H22*G5</f>
        <v>16.28</v>
      </c>
      <c r="J22" s="3"/>
      <c r="K22" s="3"/>
      <c r="Q22">
        <f>27*20%</f>
        <v>5.4</v>
      </c>
    </row>
    <row r="23" spans="1:18" ht="15.75" thickBot="1" x14ac:dyDescent="0.3">
      <c r="A23" s="63"/>
      <c r="B23" s="1"/>
      <c r="C23" s="1"/>
      <c r="D23" s="8"/>
      <c r="E23" s="7"/>
      <c r="F23" s="4"/>
      <c r="G23" s="25"/>
      <c r="H23" s="6"/>
      <c r="I23" s="9"/>
      <c r="J23" s="3"/>
      <c r="K23" s="3"/>
      <c r="Q23">
        <f>27-5.4-10</f>
        <v>11.600000000000001</v>
      </c>
    </row>
    <row r="24" spans="1:18" x14ac:dyDescent="0.25">
      <c r="A24" s="611" t="s">
        <v>17</v>
      </c>
      <c r="B24" s="612"/>
      <c r="C24" s="26">
        <f>SUM(C10:C16)</f>
        <v>0.15955000000000003</v>
      </c>
      <c r="D24" s="8"/>
      <c r="E24" s="600" t="s">
        <v>1</v>
      </c>
      <c r="F24" s="602"/>
      <c r="G24" s="615">
        <f>SUM(I10:I22)/G5</f>
        <v>10.236734729906527</v>
      </c>
      <c r="H24" s="616"/>
      <c r="I24" s="617"/>
      <c r="J24" s="621">
        <f>(G26*G5)-(G24*G5)</f>
        <v>-70.1036740026166</v>
      </c>
      <c r="K24" s="622"/>
      <c r="Q24">
        <f>11.6/27</f>
        <v>0.42962962962962964</v>
      </c>
    </row>
    <row r="25" spans="1:18" ht="15.75" thickBot="1" x14ac:dyDescent="0.3">
      <c r="A25" s="64" t="s">
        <v>18</v>
      </c>
      <c r="B25" s="15"/>
      <c r="C25" s="91">
        <v>16</v>
      </c>
      <c r="D25" s="8"/>
      <c r="E25" s="613"/>
      <c r="F25" s="614"/>
      <c r="G25" s="618"/>
      <c r="H25" s="619"/>
      <c r="I25" s="620"/>
      <c r="J25" s="623"/>
      <c r="K25" s="624"/>
      <c r="N25">
        <f>1271.83/139.2</f>
        <v>9.1367097701149422</v>
      </c>
    </row>
    <row r="26" spans="1:18" x14ac:dyDescent="0.25">
      <c r="A26" s="5"/>
      <c r="B26" s="2"/>
      <c r="C26" s="2"/>
      <c r="D26" s="8"/>
      <c r="E26" s="600" t="s">
        <v>0</v>
      </c>
      <c r="F26" s="602"/>
      <c r="G26" s="627">
        <v>5.5</v>
      </c>
      <c r="H26" s="628"/>
      <c r="I26" s="629"/>
      <c r="J26" s="623"/>
      <c r="K26" s="624"/>
    </row>
    <row r="27" spans="1:18" ht="15.75" thickBot="1" x14ac:dyDescent="0.3">
      <c r="A27" s="65"/>
      <c r="B27" s="62"/>
      <c r="C27" s="62"/>
      <c r="D27" s="62"/>
      <c r="E27" s="613"/>
      <c r="F27" s="614"/>
      <c r="G27" s="630"/>
      <c r="H27" s="631"/>
      <c r="I27" s="632"/>
      <c r="J27" s="625"/>
      <c r="K27" s="626"/>
    </row>
    <row r="30" spans="1:18" x14ac:dyDescent="0.25">
      <c r="P30" s="533">
        <v>45985</v>
      </c>
    </row>
    <row r="31" spans="1:18" x14ac:dyDescent="0.25">
      <c r="L31">
        <f>1024*27</f>
        <v>27648</v>
      </c>
      <c r="P31" s="533">
        <f ca="1">TODAY()</f>
        <v>46043</v>
      </c>
    </row>
    <row r="32" spans="1:18" x14ac:dyDescent="0.25">
      <c r="L32">
        <f>+L31*42%</f>
        <v>11612.16</v>
      </c>
      <c r="P32" s="534">
        <f ca="1">+P31-P30</f>
        <v>58</v>
      </c>
    </row>
    <row r="33" spans="12:19" x14ac:dyDescent="0.25">
      <c r="L33">
        <f>+L32/1024</f>
        <v>11.34</v>
      </c>
      <c r="P33">
        <f>92+51</f>
        <v>143</v>
      </c>
    </row>
    <row r="34" spans="12:19" x14ac:dyDescent="0.25">
      <c r="L34">
        <v>12</v>
      </c>
    </row>
    <row r="35" spans="12:19" x14ac:dyDescent="0.25">
      <c r="S35">
        <f>1600/1110</f>
        <v>1.4414414414414414</v>
      </c>
    </row>
  </sheetData>
  <mergeCells count="16">
    <mergeCell ref="J24:K27"/>
    <mergeCell ref="E26:F27"/>
    <mergeCell ref="G26:I27"/>
    <mergeCell ref="A1:I2"/>
    <mergeCell ref="G4:I4"/>
    <mergeCell ref="G5:I5"/>
    <mergeCell ref="A9:C9"/>
    <mergeCell ref="A21:C21"/>
    <mergeCell ref="D21:E21"/>
    <mergeCell ref="A4:A6"/>
    <mergeCell ref="G6:I6"/>
    <mergeCell ref="A22:C22"/>
    <mergeCell ref="D22:E22"/>
    <mergeCell ref="A24:B24"/>
    <mergeCell ref="E24:F25"/>
    <mergeCell ref="G24:I2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87A1-5E25-4894-AB4A-2237D3D6B1A0}">
  <dimension ref="A2:I48"/>
  <sheetViews>
    <sheetView workbookViewId="0">
      <selection activeCell="B16" sqref="B16"/>
    </sheetView>
  </sheetViews>
  <sheetFormatPr defaultRowHeight="15" x14ac:dyDescent="0.25"/>
  <cols>
    <col min="2" max="3" width="14.28515625" bestFit="1" customWidth="1"/>
    <col min="4" max="4" width="10.5703125" bestFit="1" customWidth="1"/>
    <col min="5" max="5" width="10.28515625" bestFit="1" customWidth="1"/>
    <col min="8" max="8" width="10.5703125" bestFit="1" customWidth="1"/>
    <col min="9" max="9" width="9.5703125" bestFit="1" customWidth="1"/>
  </cols>
  <sheetData>
    <row r="2" spans="1:9" x14ac:dyDescent="0.25">
      <c r="A2" s="852" t="s">
        <v>51</v>
      </c>
      <c r="B2" s="852"/>
      <c r="C2" s="852"/>
      <c r="D2" s="852"/>
      <c r="E2" s="258"/>
      <c r="F2" s="258"/>
      <c r="G2" s="258"/>
      <c r="H2" s="258"/>
      <c r="I2" s="258"/>
    </row>
    <row r="3" spans="1:9" x14ac:dyDescent="0.25">
      <c r="A3" s="258"/>
      <c r="B3" s="258"/>
      <c r="C3" s="258"/>
      <c r="D3" s="258"/>
      <c r="E3" s="258"/>
      <c r="F3" s="258"/>
      <c r="G3" s="258"/>
      <c r="H3" s="258"/>
      <c r="I3" s="258"/>
    </row>
    <row r="4" spans="1:9" x14ac:dyDescent="0.25">
      <c r="A4" s="258" t="s">
        <v>47</v>
      </c>
      <c r="B4" s="259">
        <f>0.75*0.75*0.05</f>
        <v>2.8125000000000001E-2</v>
      </c>
      <c r="C4" s="258"/>
      <c r="D4" s="260">
        <f>B4*H4</f>
        <v>19.6875</v>
      </c>
      <c r="E4" s="259">
        <f>B4*B13</f>
        <v>56.25</v>
      </c>
      <c r="F4" s="258"/>
      <c r="G4" s="258" t="s">
        <v>48</v>
      </c>
      <c r="H4" s="260">
        <v>700</v>
      </c>
      <c r="I4" s="258"/>
    </row>
    <row r="5" spans="1:9" x14ac:dyDescent="0.25">
      <c r="A5" s="258" t="s">
        <v>49</v>
      </c>
      <c r="B5" s="261">
        <v>13.5</v>
      </c>
      <c r="C5" s="258"/>
      <c r="D5" s="260">
        <f>B5*H5</f>
        <v>27.562499999999996</v>
      </c>
      <c r="E5" s="262">
        <f>B5*B13/12</f>
        <v>2250</v>
      </c>
      <c r="F5" s="258"/>
      <c r="G5" s="258" t="s">
        <v>50</v>
      </c>
      <c r="H5" s="263">
        <f>I5/12</f>
        <v>2.0416666666666665</v>
      </c>
      <c r="I5" s="260">
        <v>24.5</v>
      </c>
    </row>
    <row r="6" spans="1:9" x14ac:dyDescent="0.25">
      <c r="A6" s="258" t="s">
        <v>32</v>
      </c>
      <c r="B6" s="851">
        <v>0.6</v>
      </c>
      <c r="C6" s="851"/>
      <c r="D6" s="260">
        <f>SUM(D4:D5)*B6</f>
        <v>28.349999999999998</v>
      </c>
      <c r="E6" s="258"/>
      <c r="F6" s="258"/>
      <c r="G6" s="258"/>
      <c r="H6" s="258"/>
      <c r="I6" s="258"/>
    </row>
    <row r="7" spans="1:9" x14ac:dyDescent="0.25">
      <c r="A7" s="258"/>
      <c r="B7" s="258"/>
      <c r="C7" s="258"/>
      <c r="D7" s="263">
        <f>SUM(D4:D6)</f>
        <v>75.599999999999994</v>
      </c>
      <c r="E7" s="258"/>
      <c r="F7" s="258"/>
      <c r="G7" s="258"/>
      <c r="H7" s="258"/>
      <c r="I7" s="258"/>
    </row>
    <row r="8" spans="1:9" x14ac:dyDescent="0.25">
      <c r="A8" s="258" t="s">
        <v>2</v>
      </c>
      <c r="B8" s="851">
        <v>0.24</v>
      </c>
      <c r="C8" s="851"/>
      <c r="D8" s="260">
        <f>SUM(D7)/(100%-B8)*B8</f>
        <v>23.87368421052631</v>
      </c>
      <c r="E8" s="258"/>
      <c r="F8" s="258"/>
      <c r="G8" s="258"/>
      <c r="H8" s="258"/>
      <c r="I8" s="258"/>
    </row>
    <row r="9" spans="1:9" x14ac:dyDescent="0.25">
      <c r="A9" s="258"/>
      <c r="B9" s="258"/>
      <c r="C9" s="258"/>
      <c r="D9" s="258"/>
      <c r="E9" s="258"/>
      <c r="F9" s="258"/>
      <c r="G9" s="258"/>
      <c r="H9" s="258"/>
      <c r="I9" s="258"/>
    </row>
    <row r="10" spans="1:9" x14ac:dyDescent="0.25">
      <c r="A10" s="258"/>
      <c r="B10" s="258"/>
      <c r="C10" s="258"/>
      <c r="D10" s="263">
        <f>+D7+D8</f>
        <v>99.473684210526301</v>
      </c>
      <c r="E10" s="263"/>
      <c r="F10" s="258"/>
      <c r="G10" s="258"/>
      <c r="H10" s="258"/>
      <c r="I10" s="258"/>
    </row>
    <row r="11" spans="1:9" x14ac:dyDescent="0.25">
      <c r="A11" s="258"/>
      <c r="B11" s="258"/>
      <c r="C11" s="258"/>
      <c r="D11" s="258"/>
      <c r="E11" s="258"/>
      <c r="F11" s="258"/>
      <c r="G11" s="258"/>
      <c r="H11" s="258"/>
      <c r="I11" s="258"/>
    </row>
    <row r="12" spans="1:9" x14ac:dyDescent="0.25">
      <c r="A12" s="258"/>
      <c r="B12" s="258"/>
      <c r="C12" s="258"/>
      <c r="D12" s="263">
        <f>+D7+D8</f>
        <v>99.473684210526301</v>
      </c>
      <c r="E12" s="263"/>
      <c r="F12" s="258"/>
      <c r="G12" s="258"/>
      <c r="H12" s="258"/>
      <c r="I12" s="258"/>
    </row>
    <row r="13" spans="1:9" x14ac:dyDescent="0.25">
      <c r="A13" s="258" t="s">
        <v>52</v>
      </c>
      <c r="B13" s="258">
        <v>2000</v>
      </c>
      <c r="C13" s="263"/>
      <c r="D13" s="258"/>
      <c r="E13" s="258"/>
      <c r="F13" s="258"/>
      <c r="G13" s="258"/>
      <c r="H13" s="258"/>
      <c r="I13" s="258"/>
    </row>
    <row r="14" spans="1:9" x14ac:dyDescent="0.25">
      <c r="A14" s="258" t="s">
        <v>53</v>
      </c>
      <c r="B14" s="263">
        <f>D10</f>
        <v>99.473684210526301</v>
      </c>
      <c r="C14" s="263"/>
      <c r="D14" s="258"/>
      <c r="E14" s="258"/>
      <c r="F14" s="258"/>
      <c r="G14" s="258"/>
      <c r="H14" s="258"/>
      <c r="I14" s="258"/>
    </row>
    <row r="15" spans="1:9" x14ac:dyDescent="0.25">
      <c r="A15" s="258"/>
      <c r="B15" s="258"/>
      <c r="C15" s="258"/>
      <c r="D15" s="258"/>
      <c r="E15" s="258"/>
      <c r="F15" s="258"/>
      <c r="G15" s="258"/>
      <c r="H15" s="258"/>
      <c r="I15" s="258"/>
    </row>
    <row r="16" spans="1:9" x14ac:dyDescent="0.25">
      <c r="A16" s="258" t="s">
        <v>54</v>
      </c>
      <c r="B16" s="264">
        <f>B14*B13</f>
        <v>198947.36842105261</v>
      </c>
      <c r="C16" s="258">
        <f>+D6*B13</f>
        <v>56699.999999999993</v>
      </c>
      <c r="D16" s="258"/>
      <c r="E16" s="258"/>
      <c r="F16" s="258"/>
      <c r="G16" s="258"/>
      <c r="H16" s="258"/>
      <c r="I16" s="258"/>
    </row>
    <row r="18" spans="1:9" x14ac:dyDescent="0.25">
      <c r="A18" s="852" t="s">
        <v>55</v>
      </c>
      <c r="B18" s="852"/>
      <c r="C18" s="852"/>
      <c r="D18" s="852"/>
      <c r="E18" s="258"/>
      <c r="F18" s="258"/>
      <c r="G18" s="258"/>
      <c r="H18" s="258"/>
      <c r="I18" s="258"/>
    </row>
    <row r="19" spans="1:9" x14ac:dyDescent="0.25">
      <c r="A19" s="258"/>
      <c r="B19" s="258"/>
      <c r="C19" s="258"/>
      <c r="D19" s="258"/>
      <c r="E19" s="258"/>
      <c r="F19" s="258"/>
      <c r="G19" s="258"/>
      <c r="H19" s="258"/>
      <c r="I19" s="258"/>
    </row>
    <row r="20" spans="1:9" x14ac:dyDescent="0.25">
      <c r="A20" s="258" t="s">
        <v>47</v>
      </c>
      <c r="B20" s="259">
        <f>0.68*0.68*0.1</f>
        <v>4.624000000000001E-2</v>
      </c>
      <c r="C20" s="258"/>
      <c r="D20" s="260">
        <f>B20*H20</f>
        <v>32.368000000000009</v>
      </c>
      <c r="E20" s="259">
        <f>B20*B29</f>
        <v>18.496000000000006</v>
      </c>
      <c r="F20" s="258"/>
      <c r="G20" s="258" t="s">
        <v>48</v>
      </c>
      <c r="H20" s="260">
        <v>700</v>
      </c>
      <c r="I20" s="258"/>
    </row>
    <row r="21" spans="1:9" x14ac:dyDescent="0.25">
      <c r="A21" s="258" t="s">
        <v>49</v>
      </c>
      <c r="B21" s="261">
        <f>10.88*2</f>
        <v>21.76</v>
      </c>
      <c r="C21" s="258"/>
      <c r="D21" s="260">
        <f>B21*H21</f>
        <v>44.426666666666669</v>
      </c>
      <c r="E21" s="262">
        <f>B21*B29/12</f>
        <v>725.33333333333337</v>
      </c>
      <c r="F21" s="258"/>
      <c r="G21" s="258" t="s">
        <v>50</v>
      </c>
      <c r="H21" s="263">
        <f>I21/12</f>
        <v>2.0416666666666665</v>
      </c>
      <c r="I21" s="260">
        <v>24.5</v>
      </c>
    </row>
    <row r="22" spans="1:9" x14ac:dyDescent="0.25">
      <c r="A22" s="258" t="s">
        <v>32</v>
      </c>
      <c r="B22" s="851">
        <v>0.3</v>
      </c>
      <c r="C22" s="851"/>
      <c r="D22" s="260">
        <f>SUM(D20:D21)*B22</f>
        <v>23.038399999999999</v>
      </c>
      <c r="E22" s="258"/>
      <c r="F22" s="258"/>
      <c r="G22" s="258"/>
      <c r="H22" s="258"/>
      <c r="I22" s="258"/>
    </row>
    <row r="23" spans="1:9" x14ac:dyDescent="0.25">
      <c r="A23" s="258"/>
      <c r="B23" s="258"/>
      <c r="C23" s="258"/>
      <c r="D23" s="263">
        <f>SUM(D20:D22)</f>
        <v>99.833066666666667</v>
      </c>
      <c r="E23" s="258"/>
      <c r="F23" s="258"/>
      <c r="G23" s="258"/>
      <c r="H23" s="258"/>
      <c r="I23" s="258"/>
    </row>
    <row r="24" spans="1:9" x14ac:dyDescent="0.25">
      <c r="A24" s="258" t="s">
        <v>2</v>
      </c>
      <c r="B24" s="851">
        <v>0.24</v>
      </c>
      <c r="C24" s="851"/>
      <c r="D24" s="260">
        <f>SUM(D23)/(100%-B24)*B24</f>
        <v>31.526231578947367</v>
      </c>
      <c r="E24" s="258"/>
      <c r="F24" s="258"/>
      <c r="G24" s="258"/>
      <c r="H24" s="258"/>
      <c r="I24" s="258"/>
    </row>
    <row r="25" spans="1:9" x14ac:dyDescent="0.25">
      <c r="A25" s="258"/>
      <c r="B25" s="258"/>
      <c r="C25" s="258"/>
      <c r="D25" s="258"/>
      <c r="E25" s="258"/>
      <c r="F25" s="258"/>
      <c r="G25" s="258"/>
      <c r="H25" s="258"/>
      <c r="I25" s="258"/>
    </row>
    <row r="26" spans="1:9" x14ac:dyDescent="0.25">
      <c r="A26" s="258"/>
      <c r="B26" s="258"/>
      <c r="C26" s="258"/>
      <c r="D26" s="263">
        <f>+D23+D24</f>
        <v>131.35929824561404</v>
      </c>
      <c r="E26" s="263"/>
      <c r="F26" s="258"/>
      <c r="G26" s="258"/>
      <c r="H26" s="258"/>
      <c r="I26" s="258"/>
    </row>
    <row r="27" spans="1:9" x14ac:dyDescent="0.25">
      <c r="A27" s="258"/>
      <c r="B27" s="258"/>
      <c r="C27" s="258"/>
      <c r="D27" s="258"/>
      <c r="E27" s="258"/>
      <c r="F27" s="258"/>
      <c r="G27" s="258"/>
      <c r="H27" s="258"/>
      <c r="I27" s="258"/>
    </row>
    <row r="28" spans="1:9" x14ac:dyDescent="0.25">
      <c r="A28" s="258"/>
      <c r="B28" s="258"/>
      <c r="C28" s="258"/>
      <c r="D28" s="263">
        <f>+D23+D24</f>
        <v>131.35929824561404</v>
      </c>
      <c r="E28" s="263"/>
      <c r="F28" s="258"/>
      <c r="G28" s="258"/>
      <c r="H28" s="258"/>
      <c r="I28" s="258"/>
    </row>
    <row r="29" spans="1:9" x14ac:dyDescent="0.25">
      <c r="A29" s="258" t="s">
        <v>52</v>
      </c>
      <c r="B29" s="258">
        <v>400</v>
      </c>
      <c r="C29" s="263"/>
      <c r="D29" s="258"/>
      <c r="E29" s="258"/>
      <c r="F29" s="258"/>
      <c r="G29" s="258"/>
      <c r="H29" s="258"/>
      <c r="I29" s="258"/>
    </row>
    <row r="30" spans="1:9" x14ac:dyDescent="0.25">
      <c r="A30" s="258" t="s">
        <v>53</v>
      </c>
      <c r="B30" s="263">
        <f>D26</f>
        <v>131.35929824561404</v>
      </c>
      <c r="C30" s="258"/>
      <c r="D30" s="258"/>
      <c r="E30" s="258"/>
      <c r="F30" s="258"/>
      <c r="G30" s="258"/>
      <c r="H30" s="258"/>
      <c r="I30" s="258"/>
    </row>
    <row r="31" spans="1:9" x14ac:dyDescent="0.25">
      <c r="A31" s="258"/>
      <c r="B31" s="258"/>
      <c r="C31" s="258"/>
      <c r="D31" s="258"/>
      <c r="E31" s="258"/>
      <c r="F31" s="258"/>
      <c r="G31" s="258"/>
      <c r="H31" s="258"/>
      <c r="I31" s="258"/>
    </row>
    <row r="32" spans="1:9" x14ac:dyDescent="0.25">
      <c r="A32" s="258" t="s">
        <v>54</v>
      </c>
      <c r="B32" s="264">
        <f>B30*B29</f>
        <v>52543.719298245618</v>
      </c>
      <c r="C32" s="258"/>
      <c r="D32" s="258"/>
      <c r="E32" s="258"/>
      <c r="F32" s="258"/>
      <c r="G32" s="258"/>
      <c r="H32" s="258"/>
      <c r="I32" s="258"/>
    </row>
    <row r="34" spans="1:9" x14ac:dyDescent="0.25">
      <c r="A34" s="852" t="s">
        <v>55</v>
      </c>
      <c r="B34" s="852"/>
      <c r="C34" s="852"/>
      <c r="D34" s="852"/>
      <c r="E34" s="258"/>
      <c r="F34" s="258"/>
      <c r="G34" s="258"/>
      <c r="H34" s="258"/>
      <c r="I34" s="258"/>
    </row>
    <row r="35" spans="1:9" x14ac:dyDescent="0.25">
      <c r="A35" s="258"/>
      <c r="B35" s="258"/>
      <c r="C35" s="258"/>
      <c r="D35" s="258"/>
      <c r="E35" s="258"/>
      <c r="F35" s="258"/>
      <c r="G35" s="258"/>
      <c r="H35" s="258"/>
      <c r="I35" s="258"/>
    </row>
    <row r="36" spans="1:9" x14ac:dyDescent="0.25">
      <c r="A36" s="258" t="s">
        <v>47</v>
      </c>
      <c r="B36" s="259">
        <f>0.68*0.68*0.1</f>
        <v>4.624000000000001E-2</v>
      </c>
      <c r="C36" s="258"/>
      <c r="D36" s="260">
        <f>B36*H36</f>
        <v>32.368000000000009</v>
      </c>
      <c r="E36" s="259">
        <f>B36*B45</f>
        <v>18.496000000000006</v>
      </c>
      <c r="F36" s="258"/>
      <c r="G36" s="258" t="s">
        <v>48</v>
      </c>
      <c r="H36" s="260">
        <v>700</v>
      </c>
      <c r="I36" s="258"/>
    </row>
    <row r="37" spans="1:9" x14ac:dyDescent="0.25">
      <c r="A37" s="258" t="s">
        <v>49</v>
      </c>
      <c r="B37" s="261">
        <v>10.88</v>
      </c>
      <c r="C37" s="258"/>
      <c r="D37" s="260">
        <f>B37*H37</f>
        <v>22.213333333333335</v>
      </c>
      <c r="E37" s="262">
        <f>B37*B45/12</f>
        <v>362.66666666666669</v>
      </c>
      <c r="F37" s="258"/>
      <c r="G37" s="258" t="s">
        <v>50</v>
      </c>
      <c r="H37" s="263">
        <f>I37/12</f>
        <v>2.0416666666666665</v>
      </c>
      <c r="I37" s="260">
        <v>24.5</v>
      </c>
    </row>
    <row r="38" spans="1:9" x14ac:dyDescent="0.25">
      <c r="A38" s="258" t="s">
        <v>32</v>
      </c>
      <c r="B38" s="851">
        <v>0.3</v>
      </c>
      <c r="C38" s="851"/>
      <c r="D38" s="260">
        <f>SUM(D36:D37)*B38</f>
        <v>16.374400000000005</v>
      </c>
      <c r="E38" s="258"/>
      <c r="F38" s="258"/>
      <c r="G38" s="258"/>
      <c r="H38" s="258"/>
      <c r="I38" s="258"/>
    </row>
    <row r="39" spans="1:9" x14ac:dyDescent="0.25">
      <c r="A39" s="258"/>
      <c r="B39" s="258"/>
      <c r="C39" s="258"/>
      <c r="D39" s="263">
        <f>SUM(D36:D38)</f>
        <v>70.955733333333356</v>
      </c>
      <c r="E39" s="258"/>
      <c r="F39" s="258"/>
      <c r="G39" s="258"/>
      <c r="H39" s="258"/>
      <c r="I39" s="258"/>
    </row>
    <row r="40" spans="1:9" x14ac:dyDescent="0.25">
      <c r="A40" s="258" t="s">
        <v>2</v>
      </c>
      <c r="B40" s="851">
        <v>0.24</v>
      </c>
      <c r="C40" s="851"/>
      <c r="D40" s="260">
        <f>SUM(D39)/(100%-B40)*B40</f>
        <v>22.40707368421053</v>
      </c>
      <c r="E40" s="258"/>
      <c r="F40" s="258"/>
      <c r="G40" s="258"/>
      <c r="H40" s="258"/>
      <c r="I40" s="258"/>
    </row>
    <row r="41" spans="1:9" x14ac:dyDescent="0.25">
      <c r="A41" s="258"/>
      <c r="B41" s="258"/>
      <c r="C41" s="258"/>
      <c r="D41" s="258"/>
      <c r="E41" s="258"/>
      <c r="F41" s="258"/>
      <c r="G41" s="258"/>
      <c r="H41" s="258"/>
      <c r="I41" s="258"/>
    </row>
    <row r="42" spans="1:9" x14ac:dyDescent="0.25">
      <c r="A42" s="258"/>
      <c r="B42" s="258"/>
      <c r="C42" s="258"/>
      <c r="D42" s="263">
        <f>+D39+D40</f>
        <v>93.362807017543886</v>
      </c>
      <c r="E42" s="263"/>
      <c r="F42" s="258"/>
      <c r="G42" s="258"/>
      <c r="H42" s="258"/>
      <c r="I42" s="258"/>
    </row>
    <row r="43" spans="1:9" x14ac:dyDescent="0.25">
      <c r="A43" s="258"/>
      <c r="B43" s="258"/>
      <c r="C43" s="258"/>
      <c r="D43" s="258"/>
      <c r="E43" s="258"/>
      <c r="F43" s="258"/>
      <c r="G43" s="258"/>
      <c r="H43" s="258"/>
      <c r="I43" s="258"/>
    </row>
    <row r="44" spans="1:9" x14ac:dyDescent="0.25">
      <c r="A44" s="258"/>
      <c r="B44" s="258"/>
      <c r="C44" s="258"/>
      <c r="D44" s="263">
        <f>+D39+D40</f>
        <v>93.362807017543886</v>
      </c>
      <c r="E44" s="263"/>
      <c r="F44" s="258"/>
      <c r="G44" s="258"/>
      <c r="H44" s="258"/>
      <c r="I44" s="258"/>
    </row>
    <row r="45" spans="1:9" x14ac:dyDescent="0.25">
      <c r="A45" s="258" t="s">
        <v>52</v>
      </c>
      <c r="B45" s="258">
        <v>400</v>
      </c>
      <c r="C45" s="263"/>
      <c r="D45" s="258"/>
      <c r="E45" s="258"/>
      <c r="F45" s="258"/>
      <c r="G45" s="258"/>
      <c r="H45" s="258"/>
      <c r="I45" s="258"/>
    </row>
    <row r="46" spans="1:9" x14ac:dyDescent="0.25">
      <c r="A46" s="258" t="s">
        <v>53</v>
      </c>
      <c r="B46" s="263">
        <f>D42</f>
        <v>93.362807017543886</v>
      </c>
      <c r="C46" s="258"/>
      <c r="D46" s="258"/>
      <c r="E46" s="258"/>
      <c r="F46" s="258"/>
      <c r="G46" s="258"/>
      <c r="H46" s="258"/>
      <c r="I46" s="258"/>
    </row>
    <row r="47" spans="1:9" x14ac:dyDescent="0.25">
      <c r="A47" s="258"/>
      <c r="B47" s="258"/>
      <c r="C47" s="258"/>
      <c r="D47" s="258"/>
      <c r="E47" s="258"/>
      <c r="F47" s="258"/>
      <c r="G47" s="258"/>
      <c r="H47" s="258"/>
      <c r="I47" s="258"/>
    </row>
    <row r="48" spans="1:9" x14ac:dyDescent="0.25">
      <c r="A48" s="258" t="s">
        <v>54</v>
      </c>
      <c r="B48" s="264">
        <f>B46*B45</f>
        <v>37345.122807017557</v>
      </c>
      <c r="C48" s="258"/>
      <c r="D48" s="258"/>
      <c r="E48" s="258"/>
      <c r="F48" s="258"/>
      <c r="G48" s="258"/>
      <c r="H48" s="258"/>
      <c r="I48" s="258"/>
    </row>
  </sheetData>
  <mergeCells count="9">
    <mergeCell ref="B38:C38"/>
    <mergeCell ref="B40:C40"/>
    <mergeCell ref="B6:C6"/>
    <mergeCell ref="B8:C8"/>
    <mergeCell ref="A2:D2"/>
    <mergeCell ref="A18:D18"/>
    <mergeCell ref="B22:C22"/>
    <mergeCell ref="B24:C24"/>
    <mergeCell ref="A34:D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5</vt:i4>
      </vt:variant>
    </vt:vector>
  </HeadingPairs>
  <TitlesOfParts>
    <vt:vector size="19" baseType="lpstr">
      <vt:lpstr>B.V 19</vt:lpstr>
      <vt:lpstr>B.V 14</vt:lpstr>
      <vt:lpstr>B.V 10</vt:lpstr>
      <vt:lpstr>CHURASQUEIRA 65</vt:lpstr>
      <vt:lpstr>outros</vt:lpstr>
      <vt:lpstr>Manilha</vt:lpstr>
      <vt:lpstr>P. RE 6CM</vt:lpstr>
      <vt:lpstr>P. R prensado 6cm</vt:lpstr>
      <vt:lpstr>P.R prensado 8cm</vt:lpstr>
      <vt:lpstr>B. ES 14</vt:lpstr>
      <vt:lpstr>C. 14</vt:lpstr>
      <vt:lpstr>Planilha1</vt:lpstr>
      <vt:lpstr>Trilho de Laje</vt:lpstr>
      <vt:lpstr>tampa 0,75x0,75</vt:lpstr>
      <vt:lpstr>'B.V 10'!Area_de_impressao</vt:lpstr>
      <vt:lpstr>'B.V 14'!Area_de_impressao</vt:lpstr>
      <vt:lpstr>'P. RE 6CM'!Area_de_impressao</vt:lpstr>
      <vt:lpstr>'P.R prensado 8cm'!Area_de_impressao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ALBERTO DE OLIVEIRA SILVA</dc:creator>
  <cp:lastModifiedBy>LUIZ ALBERTO DE OLIVEIRA SILVA</cp:lastModifiedBy>
  <cp:lastPrinted>2024-10-03T20:55:17Z</cp:lastPrinted>
  <dcterms:created xsi:type="dcterms:W3CDTF">2024-07-13T19:06:24Z</dcterms:created>
  <dcterms:modified xsi:type="dcterms:W3CDTF">2026-01-22T02:00:58Z</dcterms:modified>
</cp:coreProperties>
</file>